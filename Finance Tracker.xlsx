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Starting Data" sheetId="7" r:id="rId1"/>
    <sheet name="Ending Data" sheetId="1" r:id="rId2"/>
    <sheet name="KPIs" sheetId="8" r:id="rId3"/>
    <sheet name="Final Result" sheetId="6" r:id="rId4"/>
  </sheets>
  <definedNames>
    <definedName name="age">#REF!</definedName>
    <definedName name="count">#REF!</definedName>
    <definedName name="wor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Career Principles</author>
  </authors>
  <commentList>
    <comment ref="I10" authorId="0">
      <text>
        <r>
          <rPr>
            <b/>
            <sz val="9"/>
            <rFont val="Tahoma"/>
            <charset val="134"/>
          </rPr>
          <t>Career Principles:</t>
        </r>
        <r>
          <rPr>
            <sz val="9"/>
            <rFont val="Tahoma"/>
            <charset val="134"/>
          </rPr>
          <t xml:space="preserve">
Groceries not included</t>
        </r>
      </text>
    </comment>
  </commentList>
</comments>
</file>

<file path=xl/comments2.xml><?xml version="1.0" encoding="utf-8"?>
<comments xmlns="http://schemas.openxmlformats.org/spreadsheetml/2006/main">
  <authors>
    <author>Career Principles</author>
  </authors>
  <commentList>
    <comment ref="C48" authorId="0">
      <text>
        <r>
          <rPr>
            <b/>
            <sz val="9"/>
            <rFont val="Tahoma"/>
            <charset val="134"/>
          </rPr>
          <t>Career Principles:</t>
        </r>
        <r>
          <rPr>
            <sz val="9"/>
            <rFont val="Tahoma"/>
            <charset val="134"/>
          </rPr>
          <t xml:space="preserve">
Savings on Jan 1st 2026</t>
        </r>
      </text>
    </comment>
  </commentList>
</comments>
</file>

<file path=xl/sharedStrings.xml><?xml version="1.0" encoding="utf-8"?>
<sst xmlns="http://schemas.openxmlformats.org/spreadsheetml/2006/main" count="1705" uniqueCount="336">
  <si>
    <t>Date</t>
  </si>
  <si>
    <t>Month</t>
  </si>
  <si>
    <t>Amount</t>
  </si>
  <si>
    <t>Type</t>
  </si>
  <si>
    <t>Income/
Expense</t>
  </si>
  <si>
    <t>Description
(optional)</t>
  </si>
  <si>
    <t>Income / Expense</t>
  </si>
  <si>
    <t>2026-01-01</t>
  </si>
  <si>
    <t>Salary</t>
  </si>
  <si>
    <t>Monthly salary</t>
  </si>
  <si>
    <t>Income</t>
  </si>
  <si>
    <t>2026-01-02</t>
  </si>
  <si>
    <t>Side Hustle</t>
  </si>
  <si>
    <t>Side project income</t>
  </si>
  <si>
    <t>2026-01-03</t>
  </si>
  <si>
    <t>Interest / Dividends</t>
  </si>
  <si>
    <t>Investment income</t>
  </si>
  <si>
    <t>2026-01-04</t>
  </si>
  <si>
    <t>Gifts / Other</t>
  </si>
  <si>
    <t>Gifts or irregular income</t>
  </si>
  <si>
    <t>2026-01-05</t>
  </si>
  <si>
    <t>Rent / Mortgage</t>
  </si>
  <si>
    <t>Monthly rent or mortgage</t>
  </si>
  <si>
    <t>Expense</t>
  </si>
  <si>
    <t>2026-01-06</t>
  </si>
  <si>
    <t>Utilities</t>
  </si>
  <si>
    <t>Electricity, water, internet</t>
  </si>
  <si>
    <t>2026-01-07</t>
  </si>
  <si>
    <t>Property Tax</t>
  </si>
  <si>
    <t>Property tax payment</t>
  </si>
  <si>
    <t>2026-01-08</t>
  </si>
  <si>
    <t>Household Goods</t>
  </si>
  <si>
    <t>Home supplies</t>
  </si>
  <si>
    <t>2026-01-09</t>
  </si>
  <si>
    <t>Car Payment</t>
  </si>
  <si>
    <t>Car loan payment</t>
  </si>
  <si>
    <t>2026-01-10</t>
  </si>
  <si>
    <t>Fuel</t>
  </si>
  <si>
    <t>Fuel costs</t>
  </si>
  <si>
    <t>2026-01-11</t>
  </si>
  <si>
    <t>Public Transport</t>
  </si>
  <si>
    <t>Public transport</t>
  </si>
  <si>
    <t>2026-01-12</t>
  </si>
  <si>
    <t>Taxis &amp; Other</t>
  </si>
  <si>
    <t>Ride sharing &amp; taxis</t>
  </si>
  <si>
    <t>2026-01-13</t>
  </si>
  <si>
    <t>Sport</t>
  </si>
  <si>
    <t>Sports activities</t>
  </si>
  <si>
    <t>2026-01-14</t>
  </si>
  <si>
    <t>Health Insurance</t>
  </si>
  <si>
    <t>Health insurance</t>
  </si>
  <si>
    <t>2026-01-15</t>
  </si>
  <si>
    <t>Medical Expenses</t>
  </si>
  <si>
    <t>Doctor or pharmacy</t>
  </si>
  <si>
    <t>2026-01-16</t>
  </si>
  <si>
    <t>Supplements</t>
  </si>
  <si>
    <t>Vitamins &amp; supplements</t>
  </si>
  <si>
    <t>2026-01-17</t>
  </si>
  <si>
    <t>Groceries</t>
  </si>
  <si>
    <t>Food shopping</t>
  </si>
  <si>
    <t>2026-01-18</t>
  </si>
  <si>
    <t>Eating Out</t>
  </si>
  <si>
    <t>Restaurants &amp; cafés</t>
  </si>
  <si>
    <t>2026-01-19</t>
  </si>
  <si>
    <t>Entertainment</t>
  </si>
  <si>
    <t>Movies &amp; events</t>
  </si>
  <si>
    <t>2026-01-20</t>
  </si>
  <si>
    <t>Travel</t>
  </si>
  <si>
    <t>Trips &amp; holidays</t>
  </si>
  <si>
    <t>2026-01-21</t>
  </si>
  <si>
    <t>Other Expenses</t>
  </si>
  <si>
    <t>Miscellaneous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</si>
  <si>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</si>
  <si>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</si>
  <si>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</si>
  <si>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</si>
  <si>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</si>
  <si>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</si>
  <si>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</si>
  <si>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</si>
  <si>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</si>
  <si>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</si>
  <si>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</si>
  <si>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</si>
  <si>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</si>
  <si>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</si>
  <si>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</si>
  <si>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</si>
  <si>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</si>
  <si>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</si>
  <si>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</si>
  <si>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</si>
  <si>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</si>
  <si>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</si>
  <si>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</si>
  <si>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</si>
  <si>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</si>
  <si>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</si>
  <si>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</si>
  <si>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</si>
  <si>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</si>
  <si>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</si>
  <si>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</si>
  <si>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</si>
  <si>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</si>
  <si>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</si>
  <si>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</si>
  <si>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</si>
  <si>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</si>
  <si>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</si>
  <si>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</si>
  <si>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</si>
  <si>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</si>
  <si>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</si>
  <si>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</si>
  <si>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</si>
  <si>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</si>
  <si>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</si>
  <si>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</si>
  <si>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</si>
  <si>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</si>
  <si>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</si>
  <si>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</si>
  <si>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</si>
  <si>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</si>
  <si>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</si>
  <si>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</si>
  <si>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</si>
  <si>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</si>
  <si>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</si>
  <si>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</si>
  <si>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</si>
  <si>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</si>
  <si>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</si>
  <si>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</si>
  <si>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</si>
  <si>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</si>
  <si>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</si>
  <si>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</si>
  <si>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</si>
  <si>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</si>
  <si>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</si>
  <si>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</si>
  <si>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</si>
  <si>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</si>
  <si>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</si>
  <si>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</si>
  <si>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</si>
  <si>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</si>
  <si>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</si>
  <si>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</si>
  <si>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</si>
  <si>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</si>
  <si>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</si>
  <si>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</si>
  <si>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</si>
  <si>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</si>
  <si>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</si>
  <si>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</si>
  <si>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</si>
  <si>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</si>
  <si>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</si>
  <si>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</si>
  <si>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</si>
  <si>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</si>
  <si>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</si>
  <si>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</si>
  <si>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</si>
  <si>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</si>
  <si>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</si>
  <si>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</si>
  <si>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</si>
  <si>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</si>
  <si>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</si>
  <si>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</si>
  <si>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</si>
  <si>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</si>
  <si>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</si>
  <si>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</si>
  <si>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</si>
  <si>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</si>
  <si>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</si>
  <si>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</si>
  <si>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</si>
  <si>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</si>
  <si>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</si>
  <si>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</si>
  <si>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</si>
  <si>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</si>
  <si>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</si>
  <si>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</si>
  <si>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</si>
  <si>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</si>
  <si>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</si>
  <si>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</si>
  <si>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</si>
  <si>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</si>
  <si>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</si>
  <si>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</si>
  <si>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</si>
  <si>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</si>
  <si>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</si>
  <si>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</si>
  <si>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</si>
  <si>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</si>
  <si>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</si>
  <si>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</si>
  <si>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</si>
  <si>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</si>
  <si>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</si>
  <si>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</si>
  <si>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</si>
  <si>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</si>
  <si>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</si>
  <si>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</si>
  <si>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</si>
  <si>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</si>
  <si>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</si>
  <si>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</si>
  <si>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</si>
  <si>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</si>
  <si>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</si>
  <si>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</si>
  <si>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</si>
  <si>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</si>
  <si>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</si>
  <si>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</si>
  <si>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</si>
  <si>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</si>
  <si>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</si>
  <si>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</si>
  <si>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</si>
  <si>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</si>
  <si>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</si>
  <si>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</si>
  <si>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</si>
  <si>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</si>
  <si>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</si>
  <si>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</si>
  <si>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</si>
  <si>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</si>
  <si>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</si>
  <si>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</si>
  <si>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</si>
  <si>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</si>
  <si>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</si>
  <si>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</si>
  <si>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</si>
  <si>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</si>
  <si>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</si>
  <si>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</si>
  <si>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</si>
  <si>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</si>
  <si>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</si>
  <si>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</si>
  <si>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</si>
  <si>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</si>
  <si>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</si>
  <si>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</si>
  <si>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</si>
  <si>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</si>
  <si>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</si>
  <si>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</si>
  <si>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</si>
  <si>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</si>
  <si>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</si>
  <si>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</si>
  <si>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</si>
  <si>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</si>
  <si>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</si>
  <si>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</si>
  <si>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</si>
  <si>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</si>
  <si>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</si>
  <si>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</si>
  <si>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</si>
  <si>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</si>
  <si>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</si>
  <si>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</si>
  <si>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</si>
  <si>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</si>
  <si>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</si>
  <si>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</si>
  <si>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</si>
  <si>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</si>
  <si>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</si>
  <si>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</si>
  <si>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</si>
  <si>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</si>
  <si>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</si>
  <si>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</si>
  <si>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</si>
  <si>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</si>
  <si>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</si>
  <si>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</si>
  <si>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</si>
  <si>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</si>
  <si>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</si>
  <si>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</si>
  <si>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</si>
  <si>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</si>
  <si>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</si>
  <si>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</si>
  <si>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Income /
Expense</t>
  </si>
  <si>
    <t>Expenses: Home</t>
  </si>
  <si>
    <t>Expenses: Transport</t>
  </si>
  <si>
    <t>Expenses: Life &amp; Health</t>
  </si>
  <si>
    <t>Expenses: Enjoyment</t>
  </si>
  <si>
    <t>Total Other</t>
  </si>
  <si>
    <t>Total Expenses</t>
  </si>
  <si>
    <t>Personal Finance Tracker</t>
  </si>
  <si>
    <t>YTD Income</t>
  </si>
  <si>
    <t>YTD Expenses</t>
  </si>
  <si>
    <t>YTD Savings</t>
  </si>
  <si>
    <t>Cumulative Savings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</si>
  <si>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</si>
  <si>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</si>
  <si>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</si>
  <si>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</si>
  <si>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</si>
  <si>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</si>
  <si>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</si>
  <si>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</si>
  <si>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</si>
  <si>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</si>
  <si>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</si>
  <si>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</si>
  <si>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</si>
  <si>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Avg</t>
  </si>
  <si>
    <t>Total Income</t>
  </si>
  <si>
    <t>Total Home</t>
  </si>
  <si>
    <t>Total Transport</t>
  </si>
  <si>
    <t>Total Life &amp; Health</t>
  </si>
  <si>
    <t>Total Enjoyment</t>
  </si>
  <si>
    <t>Savings</t>
  </si>
  <si>
    <t>Start 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</si>
</sst>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2"/>
      <color theme="1"/>
      <name val="Aptos Narrow"/>
      <charset val="134"/>
      <scheme val="minor"/>
    </font>
    <font>
      <b/>
      <sz val="26"/>
      <color theme="1"/>
      <name val="Aptos Narrow"/>
      <charset val="134"/>
      <scheme val="minor"/>
    </font>
    <font>
      <sz val="12"/>
      <color theme="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rgb="FF0070C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2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theme="4" tint="0.399975585192419"/>
      </left>
      <right/>
      <top/>
      <bottom/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6" fillId="8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6" fillId="10" borderId="18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1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0" fillId="0" borderId="0"/>
  </cellStyleXfs>
  <cellXfs count="45">
    <xf numFmtId="0" fontId="0" fillId="0" borderId="0" xfId="0"/>
    <xf numFmtId="0" fontId="0" fillId="0" borderId="0" xfId="0" applyFon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right"/>
    </xf>
    <xf numFmtId="3" fontId="0" fillId="2" borderId="3" xfId="0" applyNumberFormat="1" applyFont="1" applyFill="1" applyBorder="1" applyAlignment="1">
      <alignment horizontal="right"/>
    </xf>
    <xf numFmtId="3" fontId="0" fillId="2" borderId="4" xfId="0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3" fontId="0" fillId="3" borderId="3" xfId="0" applyNumberFormat="1" applyFont="1" applyFill="1" applyBorder="1" applyAlignment="1">
      <alignment horizontal="right"/>
    </xf>
    <xf numFmtId="3" fontId="0" fillId="3" borderId="4" xfId="0" applyNumberFormat="1" applyFont="1" applyFill="1" applyBorder="1" applyAlignment="1">
      <alignment horizontal="right"/>
    </xf>
    <xf numFmtId="3" fontId="0" fillId="3" borderId="7" xfId="0" applyNumberFormat="1" applyFont="1" applyFill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3" fontId="5" fillId="4" borderId="3" xfId="0" applyNumberFormat="1" applyFont="1" applyFill="1" applyBorder="1" applyAlignment="1">
      <alignment horizontal="right"/>
    </xf>
    <xf numFmtId="3" fontId="0" fillId="4" borderId="3" xfId="0" applyNumberFormat="1" applyFill="1" applyBorder="1" applyAlignment="1">
      <alignment horizontal="right"/>
    </xf>
    <xf numFmtId="3" fontId="0" fillId="4" borderId="4" xfId="0" applyNumberForma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6" borderId="9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 2" xfId="50"/>
  </cellStyles>
  <dxfs count="8">
    <dxf>
      <font>
        <name val="Aptos Narrow"/>
        <scheme val="none"/>
        <family val="2"/>
        <b val="0"/>
        <i val="0"/>
        <strike val="0"/>
        <u val="none"/>
        <sz val="12"/>
        <color theme="1"/>
      </font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alignment horizontal="center"/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3" formatCode="#,##0"/>
      <alignment horizontal="center"/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0" formatCode="General"/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colors>
    <mruColors>
      <color rgb="00073673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Result'!$C$10:$N$10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'Final Result'!$C$49:$N$49</c:f>
              <c:numCache>
                <c:formatCode>#,##0</c:formatCode>
                <c:ptCount val="12"/>
                <c:pt idx="0">
                  <c:v>-387</c:v>
                </c:pt>
                <c:pt idx="1">
                  <c:v>789</c:v>
                </c:pt>
                <c:pt idx="2">
                  <c:v>-835</c:v>
                </c:pt>
                <c:pt idx="3">
                  <c:v>-528</c:v>
                </c:pt>
                <c:pt idx="4">
                  <c:v>1169</c:v>
                </c:pt>
                <c:pt idx="5">
                  <c:v>843</c:v>
                </c:pt>
                <c:pt idx="6">
                  <c:v>1035</c:v>
                </c:pt>
                <c:pt idx="7">
                  <c:v>307</c:v>
                </c:pt>
                <c:pt idx="8">
                  <c:v>-488</c:v>
                </c:pt>
                <c:pt idx="9">
                  <c:v>663</c:v>
                </c:pt>
                <c:pt idx="10">
                  <c:v>537</c:v>
                </c:pt>
                <c:pt idx="11">
                  <c:v>590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overlap val="-27"/>
        <c:axId val="230344528"/>
        <c:axId val="230347888"/>
      </c:barChart>
      <c:catAx>
        <c:axId val="2303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347888"/>
        <c:crosses val="autoZero"/>
        <c:auto val="1"/>
        <c:lblAlgn val="ctr"/>
        <c:lblOffset val="100"/>
        <c:noMultiLvlLbl val="0"/>
      </c:catAx>
      <c:valAx>
        <c:axId val="23034788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34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d3328a1-f3a3-4319-a248-dd8d5dcf137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470453</xdr:colOff>
      <xdr:row>0</xdr:row>
      <xdr:rowOff>351185</xdr:rowOff>
    </xdr:from>
    <xdr:to>
      <xdr:col>15</xdr:col>
      <xdr:colOff>543340</xdr:colOff>
      <xdr:row>9</xdr:row>
      <xdr:rowOff>13253</xdr:rowOff>
    </xdr:to>
    <xdr:graphicFrame>
      <xdr:nvGraphicFramePr>
        <xdr:cNvPr id="3" name="Chart 2"/>
        <xdr:cNvGraphicFramePr/>
      </xdr:nvGraphicFramePr>
      <xdr:xfrm>
        <a:off x="3249930" y="351155"/>
        <a:ext cx="7784465" cy="163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2:G254" totalsRowShown="0">
  <autoFilter xmlns:etc="http://www.wps.cn/officeDocument/2017/etCustomData" ref="B2:G254" etc:filterBottomFollowUsedRange="0"/>
  <tableColumns count="6">
    <tableColumn id="1" name="Date" dataDxfId="0"/>
    <tableColumn id="2" name="Month" dataDxfId="1">
      <calculatedColumnFormula>TEXT(B3,"mmm")</calculatedColumnFormula>
    </tableColumn>
    <tableColumn id="3" name="Amount" dataDxfId="2"/>
    <tableColumn id="4" name="Type" dataDxfId="3"/>
    <tableColumn id="5" name="Income/&#10;Expense" dataDxfId="4">
      <calculatedColumnFormula>_xlfn.XLOOKUP(Table1[[#This Row],[Type]],Table2[Type],Table2[Income /
Expense])</calculatedColumnFormula>
    </tableColumn>
    <tableColumn id="6" name="Description&#10;(optional)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I2:J23" totalsRowShown="0">
  <autoFilter xmlns:etc="http://www.wps.cn/officeDocument/2017/etCustomData" ref="I2:J23" etc:filterBottomFollowUsedRange="0"/>
  <tableColumns count="2">
    <tableColumn id="1" name="Type" dataDxfId="6"/>
    <tableColumn id="2" name="Income /&#10;Expens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.xml"/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4"/>
  <sheetViews>
    <sheetView zoomScale="120" zoomScaleNormal="120" topLeftCell="A68" workbookViewId="0">
      <selection activeCell="K7" sqref="K7"/>
    </sheetView>
  </sheetViews>
  <sheetFormatPr defaultColWidth="11" defaultRowHeight="15"/>
  <cols>
    <col min="1" max="1" width="4.33333333333333" customWidth="1"/>
    <col min="3" max="3" width="8.5" style="34" customWidth="1"/>
    <col min="4" max="4" width="9.83333333333333" style="34" customWidth="1"/>
    <col min="5" max="5" width="22.6666666666667" customWidth="1"/>
    <col min="6" max="6" width="13" style="34" customWidth="1"/>
    <col min="7" max="7" width="27" customWidth="1"/>
    <col min="8" max="8" width="11" customWidth="1"/>
    <col min="9" max="9" width="21.75" customWidth="1"/>
    <col min="10" max="10" width="18" style="34" customWidth="1"/>
  </cols>
  <sheetData>
    <row r="2" s="33" customFormat="1" ht="31.2" spans="2:10">
      <c r="B2" s="40" t="s">
        <v>0</v>
      </c>
      <c r="C2" s="41" t="s">
        <v>1</v>
      </c>
      <c r="D2" s="41" t="s">
        <v>2</v>
      </c>
      <c r="E2" s="41" t="s">
        <v>3</v>
      </c>
      <c r="F2" s="42" t="s">
        <v>4</v>
      </c>
      <c r="G2" s="43" t="s">
        <v>5</v>
      </c>
      <c r="I2" s="40" t="s">
        <v>3</v>
      </c>
      <c r="J2" s="44" t="s">
        <v>6</v>
      </c>
    </row>
    <row r="3" spans="2:10">
      <c r="B3" t="s">
        <v>7</v>
      </c>
      <c r="D3" s="39">
        <v>3282</v>
      </c>
      <c r="E3" t="s">
        <v>8</v>
      </c>
      <c r="F3"/>
      <c r="G3" t="s">
        <v>9</v>
      </c>
      <c r="I3" t="s">
        <v>8</v>
      </c>
      <c r="J3" s="34" t="s">
        <v>10</v>
      </c>
    </row>
    <row r="4" spans="2:10">
      <c r="B4" t="s">
        <v>11</v>
      </c>
      <c r="D4" s="39">
        <v>608</v>
      </c>
      <c r="E4" t="s">
        <v>12</v>
      </c>
      <c r="F4"/>
      <c r="G4" t="s">
        <v>13</v>
      </c>
      <c r="I4" t="s">
        <v>12</v>
      </c>
      <c r="J4" s="34" t="s">
        <v>10</v>
      </c>
    </row>
    <row r="5" spans="2:10">
      <c r="B5" t="s">
        <v>14</v>
      </c>
      <c r="D5" s="39">
        <v>130</v>
      </c>
      <c r="E5" t="s">
        <v>15</v>
      </c>
      <c r="F5"/>
      <c r="G5" t="s">
        <v>16</v>
      </c>
      <c r="I5" t="s">
        <v>15</v>
      </c>
      <c r="J5" s="34" t="s">
        <v>10</v>
      </c>
    </row>
    <row r="6" spans="2:10">
      <c r="B6" t="s">
        <v>17</v>
      </c>
      <c r="D6" s="39">
        <v>24</v>
      </c>
      <c r="E6" t="s">
        <v>18</v>
      </c>
      <c r="F6"/>
      <c r="G6" t="s">
        <v>19</v>
      </c>
      <c r="I6" t="s">
        <v>18</v>
      </c>
      <c r="J6" s="34" t="s">
        <v>10</v>
      </c>
    </row>
    <row r="7" spans="2:10">
      <c r="B7" t="s">
        <v>20</v>
      </c>
      <c r="D7" s="39">
        <v>1100</v>
      </c>
      <c r="E7" t="s">
        <v>21</v>
      </c>
      <c r="F7"/>
      <c r="G7" t="s">
        <v>22</v>
      </c>
      <c r="I7" t="s">
        <v>21</v>
      </c>
      <c r="J7" s="34" t="s">
        <v>23</v>
      </c>
    </row>
    <row r="8" spans="2:10">
      <c r="B8" t="s">
        <v>24</v>
      </c>
      <c r="D8" s="39">
        <v>129</v>
      </c>
      <c r="E8" t="s">
        <v>25</v>
      </c>
      <c r="F8"/>
      <c r="G8" t="s">
        <v>26</v>
      </c>
      <c r="I8" t="s">
        <v>25</v>
      </c>
      <c r="J8" s="34" t="s">
        <v>23</v>
      </c>
    </row>
    <row r="9" spans="2:10">
      <c r="B9" t="s">
        <v>27</v>
      </c>
      <c r="D9" s="39">
        <v>840</v>
      </c>
      <c r="E9" t="s">
        <v>28</v>
      </c>
      <c r="F9"/>
      <c r="G9" t="s">
        <v>29</v>
      </c>
      <c r="I9" t="s">
        <v>28</v>
      </c>
      <c r="J9" s="34" t="s">
        <v>23</v>
      </c>
    </row>
    <row r="10" spans="2:10">
      <c r="B10" t="s">
        <v>30</v>
      </c>
      <c r="D10" s="39">
        <v>217</v>
      </c>
      <c r="E10" t="s">
        <v>31</v>
      </c>
      <c r="F10"/>
      <c r="G10" t="s">
        <v>32</v>
      </c>
      <c r="I10" t="s">
        <v>31</v>
      </c>
      <c r="J10" s="34" t="s">
        <v>23</v>
      </c>
    </row>
    <row r="11" spans="2:10">
      <c r="B11" t="s">
        <v>33</v>
      </c>
      <c r="D11" s="39">
        <v>420</v>
      </c>
      <c r="E11" t="s">
        <v>34</v>
      </c>
      <c r="F11"/>
      <c r="G11" t="s">
        <v>35</v>
      </c>
      <c r="I11" t="s">
        <v>34</v>
      </c>
      <c r="J11" s="34" t="s">
        <v>23</v>
      </c>
    </row>
    <row r="12" spans="2:10">
      <c r="B12" t="s">
        <v>36</v>
      </c>
      <c r="D12" s="39">
        <v>102</v>
      </c>
      <c r="E12" t="s">
        <v>37</v>
      </c>
      <c r="F12"/>
      <c r="G12" t="s">
        <v>38</v>
      </c>
      <c r="I12" t="s">
        <v>37</v>
      </c>
      <c r="J12" s="34" t="s">
        <v>23</v>
      </c>
    </row>
    <row r="13" spans="2:10">
      <c r="B13" t="s">
        <v>39</v>
      </c>
      <c r="D13" s="39">
        <v>83</v>
      </c>
      <c r="E13" t="s">
        <v>40</v>
      </c>
      <c r="F13"/>
      <c r="G13" t="s">
        <v>41</v>
      </c>
      <c r="I13" t="s">
        <v>40</v>
      </c>
      <c r="J13" s="34" t="s">
        <v>23</v>
      </c>
    </row>
    <row r="14" spans="2:10">
      <c r="B14" t="s">
        <v>42</v>
      </c>
      <c r="D14" s="39">
        <v>94</v>
      </c>
      <c r="E14" t="s">
        <v>43</v>
      </c>
      <c r="F14"/>
      <c r="G14" t="s">
        <v>44</v>
      </c>
      <c r="I14" t="s">
        <v>43</v>
      </c>
      <c r="J14" s="34" t="s">
        <v>23</v>
      </c>
    </row>
    <row r="15" spans="2:10">
      <c r="B15" t="s">
        <v>45</v>
      </c>
      <c r="D15" s="39">
        <v>47</v>
      </c>
      <c r="E15" t="s">
        <v>46</v>
      </c>
      <c r="F15"/>
      <c r="G15" t="s">
        <v>47</v>
      </c>
      <c r="I15" t="s">
        <v>46</v>
      </c>
      <c r="J15" s="34" t="s">
        <v>23</v>
      </c>
    </row>
    <row r="16" spans="2:10">
      <c r="B16" t="s">
        <v>48</v>
      </c>
      <c r="D16" s="39">
        <v>132</v>
      </c>
      <c r="E16" t="s">
        <v>49</v>
      </c>
      <c r="F16"/>
      <c r="G16" t="s">
        <v>50</v>
      </c>
      <c r="I16" t="s">
        <v>49</v>
      </c>
      <c r="J16" s="34" t="s">
        <v>23</v>
      </c>
    </row>
    <row r="17" spans="2:10">
      <c r="B17" t="s">
        <v>51</v>
      </c>
      <c r="D17" s="39">
        <v>109</v>
      </c>
      <c r="E17" t="s">
        <v>52</v>
      </c>
      <c r="F17"/>
      <c r="G17" t="s">
        <v>53</v>
      </c>
      <c r="I17" t="s">
        <v>52</v>
      </c>
      <c r="J17" s="34" t="s">
        <v>23</v>
      </c>
    </row>
    <row r="18" spans="2:10">
      <c r="B18" t="s">
        <v>54</v>
      </c>
      <c r="D18" s="39">
        <v>24</v>
      </c>
      <c r="E18" t="s">
        <v>55</v>
      </c>
      <c r="F18"/>
      <c r="G18" t="s">
        <v>56</v>
      </c>
      <c r="I18" t="s">
        <v>55</v>
      </c>
      <c r="J18" s="34" t="s">
        <v>23</v>
      </c>
    </row>
    <row r="19" spans="2:10">
      <c r="B19" t="s">
        <v>57</v>
      </c>
      <c r="D19" s="39">
        <v>382</v>
      </c>
      <c r="E19" t="s">
        <v>58</v>
      </c>
      <c r="F19"/>
      <c r="G19" t="s">
        <v>59</v>
      </c>
      <c r="I19" t="s">
        <v>58</v>
      </c>
      <c r="J19" s="34" t="s">
        <v>23</v>
      </c>
    </row>
    <row r="20" spans="2:10">
      <c r="B20" t="s">
        <v>60</v>
      </c>
      <c r="D20" s="39">
        <v>261</v>
      </c>
      <c r="E20" t="s">
        <v>61</v>
      </c>
      <c r="F20"/>
      <c r="G20" t="s">
        <v>62</v>
      </c>
      <c r="I20" t="s">
        <v>61</v>
      </c>
      <c r="J20" s="34" t="s">
        <v>23</v>
      </c>
    </row>
    <row r="21" spans="2:10">
      <c r="B21" t="s">
        <v>63</v>
      </c>
      <c r="D21" s="39">
        <v>227</v>
      </c>
      <c r="E21" t="s">
        <v>64</v>
      </c>
      <c r="F21"/>
      <c r="G21" t="s">
        <v>65</v>
      </c>
      <c r="I21" t="s">
        <v>64</v>
      </c>
      <c r="J21" s="34" t="s">
        <v>23</v>
      </c>
    </row>
    <row r="22" spans="2:10">
      <c r="B22" t="s">
        <v>66</v>
      </c>
      <c r="D22" s="39">
        <v>143</v>
      </c>
      <c r="E22" t="s">
        <v>67</v>
      </c>
      <c r="F22"/>
      <c r="G22" t="s">
        <v>68</v>
      </c>
      <c r="I22" t="s">
        <v>67</v>
      </c>
      <c r="J22" s="34" t="s">
        <v>23</v>
      </c>
    </row>
    <row r="23" spans="2:10">
      <c r="B23" t="s">
        <v>69</v>
      </c>
      <c r="D23" s="39">
        <v>121</v>
      </c>
      <c r="E23" t="s">
        <v>70</v>
      </c>
      <c r="F23"/>
      <c r="G23" t="s">
        <v>71</v>
      </c>
      <c r="I23" t="s">
        <v>70</v>
      </c>
      <c r="J23" s="34" t="s">
        <v>23</v>
      </c>
    </row>
    <row r="24" spans="2:7">
      <c r="B24" t="s">
        <v>72</v>
      </c>
      <c r="D24" s="39">
        <v>3223</v>
      </c>
      <c r="E24" t="s">
        <v>8</v>
      </c>
      <c r="F24"/>
      <c r="G24" t="s">
        <v>9</v>
      </c>
    </row>
    <row r="25" spans="2:7">
      <c r="B25" t="s">
        <v>73</v>
      </c>
      <c r="D25" s="39">
        <v>1169</v>
      </c>
      <c r="E25" t="s">
        <v>12</v>
      </c>
      <c r="F25"/>
      <c r="G25" t="s">
        <v>13</v>
      </c>
    </row>
    <row r="26" spans="2:7">
      <c r="B26" t="s">
        <v>74</v>
      </c>
      <c r="D26" s="39">
        <v>87</v>
      </c>
      <c r="E26" t="s">
        <v>15</v>
      </c>
      <c r="F26"/>
      <c r="G26" t="s">
        <v>16</v>
      </c>
    </row>
    <row r="27" spans="2:7">
      <c r="B27" t="s">
        <v>75</v>
      </c>
      <c r="D27" s="39">
        <v>289</v>
      </c>
      <c r="E27" t="s">
        <v>18</v>
      </c>
      <c r="F27"/>
      <c r="G27" t="s">
        <v>19</v>
      </c>
    </row>
    <row r="28" spans="2:7">
      <c r="B28" t="s">
        <v>76</v>
      </c>
      <c r="D28" s="39">
        <v>1100</v>
      </c>
      <c r="E28" t="s">
        <v>21</v>
      </c>
      <c r="F28"/>
      <c r="G28" t="s">
        <v>22</v>
      </c>
    </row>
    <row r="29" spans="2:7">
      <c r="B29" t="s">
        <v>77</v>
      </c>
      <c r="D29" s="39">
        <v>135</v>
      </c>
      <c r="E29" t="s">
        <v>25</v>
      </c>
      <c r="F29"/>
      <c r="G29" t="s">
        <v>26</v>
      </c>
    </row>
    <row r="30" spans="2:7">
      <c r="B30" t="s">
        <v>78</v>
      </c>
      <c r="D30" s="39">
        <v>228</v>
      </c>
      <c r="E30" t="s">
        <v>28</v>
      </c>
      <c r="F30"/>
      <c r="G30" t="s">
        <v>29</v>
      </c>
    </row>
    <row r="31" spans="2:7">
      <c r="B31" t="s">
        <v>79</v>
      </c>
      <c r="D31" s="39">
        <v>240</v>
      </c>
      <c r="E31" t="s">
        <v>31</v>
      </c>
      <c r="F31"/>
      <c r="G31" t="s">
        <v>32</v>
      </c>
    </row>
    <row r="32" spans="2:7">
      <c r="B32" t="s">
        <v>80</v>
      </c>
      <c r="D32" s="39">
        <v>420</v>
      </c>
      <c r="E32" t="s">
        <v>34</v>
      </c>
      <c r="F32"/>
      <c r="G32" t="s">
        <v>35</v>
      </c>
    </row>
    <row r="33" spans="2:7">
      <c r="B33" t="s">
        <v>81</v>
      </c>
      <c r="D33" s="39">
        <v>164</v>
      </c>
      <c r="E33" t="s">
        <v>37</v>
      </c>
      <c r="F33"/>
      <c r="G33" t="s">
        <v>38</v>
      </c>
    </row>
    <row r="34" spans="2:7">
      <c r="B34" t="s">
        <v>82</v>
      </c>
      <c r="D34" s="39">
        <v>63</v>
      </c>
      <c r="E34" t="s">
        <v>40</v>
      </c>
      <c r="F34"/>
      <c r="G34" t="s">
        <v>41</v>
      </c>
    </row>
    <row r="35" spans="2:7">
      <c r="B35" t="s">
        <v>83</v>
      </c>
      <c r="D35" s="39">
        <v>93</v>
      </c>
      <c r="E35" t="s">
        <v>43</v>
      </c>
      <c r="F35"/>
      <c r="G35" t="s">
        <v>44</v>
      </c>
    </row>
    <row r="36" spans="2:7">
      <c r="B36" t="s">
        <v>84</v>
      </c>
      <c r="D36" s="39">
        <v>114</v>
      </c>
      <c r="E36" t="s">
        <v>46</v>
      </c>
      <c r="F36"/>
      <c r="G36" t="s">
        <v>47</v>
      </c>
    </row>
    <row r="37" spans="2:7">
      <c r="B37" t="s">
        <v>85</v>
      </c>
      <c r="D37" s="39">
        <v>125</v>
      </c>
      <c r="E37" t="s">
        <v>49</v>
      </c>
      <c r="F37"/>
      <c r="G37" t="s">
        <v>50</v>
      </c>
    </row>
    <row r="38" spans="2:7">
      <c r="B38" t="s">
        <v>86</v>
      </c>
      <c r="D38" s="39">
        <v>25</v>
      </c>
      <c r="E38" t="s">
        <v>52</v>
      </c>
      <c r="F38"/>
      <c r="G38" t="s">
        <v>53</v>
      </c>
    </row>
    <row r="39" spans="2:7">
      <c r="B39" t="s">
        <v>87</v>
      </c>
      <c r="D39" s="39">
        <v>48</v>
      </c>
      <c r="E39" t="s">
        <v>55</v>
      </c>
      <c r="F39"/>
      <c r="G39" t="s">
        <v>56</v>
      </c>
    </row>
    <row r="40" spans="2:7">
      <c r="B40" t="s">
        <v>88</v>
      </c>
      <c r="D40" s="39">
        <v>371</v>
      </c>
      <c r="E40" t="s">
        <v>58</v>
      </c>
      <c r="F40"/>
      <c r="G40" t="s">
        <v>59</v>
      </c>
    </row>
    <row r="41" spans="2:7">
      <c r="B41" t="s">
        <v>89</v>
      </c>
      <c r="D41" s="39">
        <v>292</v>
      </c>
      <c r="E41" t="s">
        <v>61</v>
      </c>
      <c r="F41"/>
      <c r="G41" t="s">
        <v>62</v>
      </c>
    </row>
    <row r="42" spans="2:7">
      <c r="B42" t="s">
        <v>90</v>
      </c>
      <c r="D42" s="39">
        <v>154</v>
      </c>
      <c r="E42" t="s">
        <v>64</v>
      </c>
      <c r="F42"/>
      <c r="G42" t="s">
        <v>65</v>
      </c>
    </row>
    <row r="43" spans="2:7">
      <c r="B43" t="s">
        <v>91</v>
      </c>
      <c r="D43" s="39">
        <v>240</v>
      </c>
      <c r="E43" t="s">
        <v>67</v>
      </c>
      <c r="F43"/>
      <c r="G43" t="s">
        <v>68</v>
      </c>
    </row>
    <row r="44" spans="2:7">
      <c r="B44" t="s">
        <v>92</v>
      </c>
      <c r="D44" s="39">
        <v>167</v>
      </c>
      <c r="E44" t="s">
        <v>70</v>
      </c>
      <c r="F44"/>
      <c r="G44" t="s">
        <v>71</v>
      </c>
    </row>
    <row r="45" spans="2:7">
      <c r="B45" t="s">
        <v>93</v>
      </c>
      <c r="D45" s="39">
        <v>3236</v>
      </c>
      <c r="E45" t="s">
        <v>8</v>
      </c>
      <c r="F45"/>
      <c r="G45" t="s">
        <v>9</v>
      </c>
    </row>
    <row r="46" spans="2:7">
      <c r="B46" t="s">
        <v>94</v>
      </c>
      <c r="D46" s="39">
        <v>541</v>
      </c>
      <c r="E46" t="s">
        <v>12</v>
      </c>
      <c r="F46"/>
      <c r="G46" t="s">
        <v>13</v>
      </c>
    </row>
    <row r="47" spans="2:7">
      <c r="B47" t="s">
        <v>95</v>
      </c>
      <c r="D47" s="39">
        <v>153</v>
      </c>
      <c r="E47" t="s">
        <v>15</v>
      </c>
      <c r="F47"/>
      <c r="G47" t="s">
        <v>16</v>
      </c>
    </row>
    <row r="48" spans="2:7">
      <c r="B48" t="s">
        <v>96</v>
      </c>
      <c r="D48" s="39">
        <v>157</v>
      </c>
      <c r="E48" t="s">
        <v>18</v>
      </c>
      <c r="F48"/>
      <c r="G48" t="s">
        <v>19</v>
      </c>
    </row>
    <row r="49" spans="2:7">
      <c r="B49" t="s">
        <v>97</v>
      </c>
      <c r="D49" s="39">
        <v>1100</v>
      </c>
      <c r="E49" t="s">
        <v>21</v>
      </c>
      <c r="F49"/>
      <c r="G49" t="s">
        <v>22</v>
      </c>
    </row>
    <row r="50" spans="2:7">
      <c r="B50" t="s">
        <v>98</v>
      </c>
      <c r="D50" s="39">
        <v>191</v>
      </c>
      <c r="E50" t="s">
        <v>25</v>
      </c>
      <c r="F50"/>
      <c r="G50" t="s">
        <v>26</v>
      </c>
    </row>
    <row r="51" spans="2:7">
      <c r="B51" t="s">
        <v>99</v>
      </c>
      <c r="D51" s="39">
        <v>835</v>
      </c>
      <c r="E51" t="s">
        <v>28</v>
      </c>
      <c r="F51"/>
      <c r="G51" t="s">
        <v>29</v>
      </c>
    </row>
    <row r="52" spans="2:7">
      <c r="B52" t="s">
        <v>100</v>
      </c>
      <c r="D52" s="39">
        <v>126</v>
      </c>
      <c r="E52" t="s">
        <v>31</v>
      </c>
      <c r="F52"/>
      <c r="G52" t="s">
        <v>32</v>
      </c>
    </row>
    <row r="53" spans="2:7">
      <c r="B53" t="s">
        <v>101</v>
      </c>
      <c r="D53" s="39">
        <v>420</v>
      </c>
      <c r="E53" t="s">
        <v>34</v>
      </c>
      <c r="F53"/>
      <c r="G53" t="s">
        <v>35</v>
      </c>
    </row>
    <row r="54" spans="2:7">
      <c r="B54" t="s">
        <v>102</v>
      </c>
      <c r="D54" s="39">
        <v>103</v>
      </c>
      <c r="E54" t="s">
        <v>37</v>
      </c>
      <c r="F54"/>
      <c r="G54" t="s">
        <v>38</v>
      </c>
    </row>
    <row r="55" spans="2:7">
      <c r="B55" t="s">
        <v>103</v>
      </c>
      <c r="D55" s="39">
        <v>97</v>
      </c>
      <c r="E55" t="s">
        <v>40</v>
      </c>
      <c r="F55"/>
      <c r="G55" t="s">
        <v>41</v>
      </c>
    </row>
    <row r="56" spans="2:7">
      <c r="B56" t="s">
        <v>104</v>
      </c>
      <c r="D56" s="39">
        <v>93</v>
      </c>
      <c r="E56" t="s">
        <v>43</v>
      </c>
      <c r="F56"/>
      <c r="G56" t="s">
        <v>44</v>
      </c>
    </row>
    <row r="57" spans="2:7">
      <c r="B57" t="s">
        <v>105</v>
      </c>
      <c r="D57" s="39">
        <v>121</v>
      </c>
      <c r="E57" t="s">
        <v>46</v>
      </c>
      <c r="F57"/>
      <c r="G57" t="s">
        <v>47</v>
      </c>
    </row>
    <row r="58" spans="2:7">
      <c r="B58" t="s">
        <v>106</v>
      </c>
      <c r="D58" s="39">
        <v>112</v>
      </c>
      <c r="E58" t="s">
        <v>49</v>
      </c>
      <c r="F58"/>
      <c r="G58" t="s">
        <v>50</v>
      </c>
    </row>
    <row r="59" spans="2:7">
      <c r="B59" t="s">
        <v>107</v>
      </c>
      <c r="D59" s="39">
        <v>190</v>
      </c>
      <c r="E59" t="s">
        <v>52</v>
      </c>
      <c r="F59"/>
      <c r="G59" t="s">
        <v>53</v>
      </c>
    </row>
    <row r="60" spans="2:7">
      <c r="B60" t="s">
        <v>108</v>
      </c>
      <c r="D60" s="39">
        <v>32</v>
      </c>
      <c r="E60" t="s">
        <v>55</v>
      </c>
      <c r="F60"/>
      <c r="G60" t="s">
        <v>56</v>
      </c>
    </row>
    <row r="61" spans="2:7">
      <c r="B61" t="s">
        <v>109</v>
      </c>
      <c r="D61" s="39">
        <v>500</v>
      </c>
      <c r="E61" t="s">
        <v>58</v>
      </c>
      <c r="F61"/>
      <c r="G61" t="s">
        <v>59</v>
      </c>
    </row>
    <row r="62" spans="2:7">
      <c r="B62" t="s">
        <v>110</v>
      </c>
      <c r="D62" s="39">
        <v>332</v>
      </c>
      <c r="E62" t="s">
        <v>61</v>
      </c>
      <c r="F62"/>
      <c r="G62" t="s">
        <v>62</v>
      </c>
    </row>
    <row r="63" spans="2:7">
      <c r="B63" t="s">
        <v>111</v>
      </c>
      <c r="D63" s="39">
        <v>136</v>
      </c>
      <c r="E63" t="s">
        <v>64</v>
      </c>
      <c r="F63"/>
      <c r="G63" t="s">
        <v>65</v>
      </c>
    </row>
    <row r="64" spans="2:7">
      <c r="B64" t="s">
        <v>112</v>
      </c>
      <c r="D64" s="39">
        <v>459</v>
      </c>
      <c r="E64" t="s">
        <v>67</v>
      </c>
      <c r="F64"/>
      <c r="G64" t="s">
        <v>68</v>
      </c>
    </row>
    <row r="65" spans="2:7">
      <c r="B65" t="s">
        <v>113</v>
      </c>
      <c r="D65" s="39">
        <v>75</v>
      </c>
      <c r="E65" t="s">
        <v>70</v>
      </c>
      <c r="F65"/>
      <c r="G65" t="s">
        <v>71</v>
      </c>
    </row>
    <row r="66" spans="2:7">
      <c r="B66" t="s">
        <v>114</v>
      </c>
      <c r="D66" s="39">
        <v>3358</v>
      </c>
      <c r="E66" t="s">
        <v>8</v>
      </c>
      <c r="F66"/>
      <c r="G66" t="s">
        <v>9</v>
      </c>
    </row>
    <row r="67" spans="2:7">
      <c r="B67" t="s">
        <v>115</v>
      </c>
      <c r="D67" s="39">
        <v>721</v>
      </c>
      <c r="E67" t="s">
        <v>12</v>
      </c>
      <c r="F67"/>
      <c r="G67" t="s">
        <v>13</v>
      </c>
    </row>
    <row r="68" spans="2:7">
      <c r="B68" t="s">
        <v>116</v>
      </c>
      <c r="D68" s="39">
        <v>143</v>
      </c>
      <c r="E68" t="s">
        <v>15</v>
      </c>
      <c r="F68"/>
      <c r="G68" t="s">
        <v>16</v>
      </c>
    </row>
    <row r="69" spans="2:7">
      <c r="B69" t="s">
        <v>117</v>
      </c>
      <c r="D69" s="39">
        <v>272</v>
      </c>
      <c r="E69" t="s">
        <v>18</v>
      </c>
      <c r="F69"/>
      <c r="G69" t="s">
        <v>19</v>
      </c>
    </row>
    <row r="70" spans="2:7">
      <c r="B70" t="s">
        <v>118</v>
      </c>
      <c r="D70" s="39">
        <v>1100</v>
      </c>
      <c r="E70" t="s">
        <v>21</v>
      </c>
      <c r="F70"/>
      <c r="G70" t="s">
        <v>22</v>
      </c>
    </row>
    <row r="71" spans="2:7">
      <c r="B71" t="s">
        <v>119</v>
      </c>
      <c r="D71" s="39">
        <v>174</v>
      </c>
      <c r="E71" t="s">
        <v>25</v>
      </c>
      <c r="F71"/>
      <c r="G71" t="s">
        <v>26</v>
      </c>
    </row>
    <row r="72" spans="2:7">
      <c r="B72" t="s">
        <v>120</v>
      </c>
      <c r="D72" s="39">
        <v>795</v>
      </c>
      <c r="E72" t="s">
        <v>28</v>
      </c>
      <c r="F72"/>
      <c r="G72" t="s">
        <v>29</v>
      </c>
    </row>
    <row r="73" spans="2:7">
      <c r="B73" t="s">
        <v>121</v>
      </c>
      <c r="D73" s="39">
        <v>160</v>
      </c>
      <c r="E73" t="s">
        <v>31</v>
      </c>
      <c r="F73"/>
      <c r="G73" t="s">
        <v>32</v>
      </c>
    </row>
    <row r="74" spans="2:7">
      <c r="B74" t="s">
        <v>122</v>
      </c>
      <c r="D74" s="39">
        <v>420</v>
      </c>
      <c r="E74" t="s">
        <v>34</v>
      </c>
      <c r="F74"/>
      <c r="G74" t="s">
        <v>35</v>
      </c>
    </row>
    <row r="75" spans="2:7">
      <c r="B75" t="s">
        <v>123</v>
      </c>
      <c r="D75" s="39">
        <v>149</v>
      </c>
      <c r="E75" t="s">
        <v>37</v>
      </c>
      <c r="F75"/>
      <c r="G75" t="s">
        <v>38</v>
      </c>
    </row>
    <row r="76" spans="2:7">
      <c r="B76" t="s">
        <v>124</v>
      </c>
      <c r="D76" s="39">
        <v>97</v>
      </c>
      <c r="E76" t="s">
        <v>40</v>
      </c>
      <c r="F76"/>
      <c r="G76" t="s">
        <v>41</v>
      </c>
    </row>
    <row r="77" spans="2:7">
      <c r="B77" t="s">
        <v>125</v>
      </c>
      <c r="D77" s="39">
        <v>78</v>
      </c>
      <c r="E77" t="s">
        <v>43</v>
      </c>
      <c r="F77"/>
      <c r="G77" t="s">
        <v>44</v>
      </c>
    </row>
    <row r="78" spans="2:7">
      <c r="B78" t="s">
        <v>126</v>
      </c>
      <c r="D78" s="39">
        <v>86</v>
      </c>
      <c r="E78" t="s">
        <v>46</v>
      </c>
      <c r="F78"/>
      <c r="G78" t="s">
        <v>47</v>
      </c>
    </row>
    <row r="79" spans="2:7">
      <c r="B79" t="s">
        <v>127</v>
      </c>
      <c r="D79" s="39">
        <v>119</v>
      </c>
      <c r="E79" t="s">
        <v>49</v>
      </c>
      <c r="F79"/>
      <c r="G79" t="s">
        <v>50</v>
      </c>
    </row>
    <row r="80" spans="2:7">
      <c r="B80" t="s">
        <v>128</v>
      </c>
      <c r="D80" s="39">
        <v>127</v>
      </c>
      <c r="E80" t="s">
        <v>52</v>
      </c>
      <c r="F80"/>
      <c r="G80" t="s">
        <v>53</v>
      </c>
    </row>
    <row r="81" spans="2:7">
      <c r="B81" t="s">
        <v>129</v>
      </c>
      <c r="D81" s="39">
        <v>43</v>
      </c>
      <c r="E81" t="s">
        <v>55</v>
      </c>
      <c r="F81"/>
      <c r="G81" t="s">
        <v>56</v>
      </c>
    </row>
    <row r="82" spans="2:7">
      <c r="B82" t="s">
        <v>130</v>
      </c>
      <c r="D82" s="39">
        <v>538</v>
      </c>
      <c r="E82" t="s">
        <v>58</v>
      </c>
      <c r="F82"/>
      <c r="G82" t="s">
        <v>59</v>
      </c>
    </row>
    <row r="83" spans="2:7">
      <c r="B83" t="s">
        <v>131</v>
      </c>
      <c r="D83" s="39">
        <v>212</v>
      </c>
      <c r="E83" t="s">
        <v>61</v>
      </c>
      <c r="F83"/>
      <c r="G83" t="s">
        <v>62</v>
      </c>
    </row>
    <row r="84" spans="2:7">
      <c r="B84" t="s">
        <v>132</v>
      </c>
      <c r="D84" s="39">
        <v>140</v>
      </c>
      <c r="E84" t="s">
        <v>64</v>
      </c>
      <c r="F84"/>
      <c r="G84" t="s">
        <v>65</v>
      </c>
    </row>
    <row r="85" spans="2:7">
      <c r="B85" t="s">
        <v>133</v>
      </c>
      <c r="D85" s="39">
        <v>648</v>
      </c>
      <c r="E85" t="s">
        <v>67</v>
      </c>
      <c r="F85"/>
      <c r="G85" t="s">
        <v>68</v>
      </c>
    </row>
    <row r="86" spans="2:7">
      <c r="B86" t="s">
        <v>134</v>
      </c>
      <c r="D86" s="39">
        <v>136</v>
      </c>
      <c r="E86" t="s">
        <v>70</v>
      </c>
      <c r="F86"/>
      <c r="G86" t="s">
        <v>71</v>
      </c>
    </row>
    <row r="87" spans="2:7">
      <c r="B87" t="s">
        <v>135</v>
      </c>
      <c r="D87" s="39">
        <v>3334</v>
      </c>
      <c r="E87" t="s">
        <v>8</v>
      </c>
      <c r="F87"/>
      <c r="G87" t="s">
        <v>9</v>
      </c>
    </row>
    <row r="88" spans="2:7">
      <c r="B88" t="s">
        <v>136</v>
      </c>
      <c r="D88" s="39">
        <v>1313</v>
      </c>
      <c r="E88" t="s">
        <v>12</v>
      </c>
      <c r="F88"/>
      <c r="G88" t="s">
        <v>13</v>
      </c>
    </row>
    <row r="89" spans="2:7">
      <c r="B89" t="s">
        <v>137</v>
      </c>
      <c r="D89" s="39">
        <v>192</v>
      </c>
      <c r="E89" t="s">
        <v>15</v>
      </c>
      <c r="F89"/>
      <c r="G89" t="s">
        <v>16</v>
      </c>
    </row>
    <row r="90" spans="2:7">
      <c r="B90" t="s">
        <v>138</v>
      </c>
      <c r="D90" s="39">
        <v>175</v>
      </c>
      <c r="E90" t="s">
        <v>18</v>
      </c>
      <c r="F90"/>
      <c r="G90" t="s">
        <v>19</v>
      </c>
    </row>
    <row r="91" spans="2:7">
      <c r="B91" t="s">
        <v>139</v>
      </c>
      <c r="D91" s="39">
        <v>1100</v>
      </c>
      <c r="E91" t="s">
        <v>21</v>
      </c>
      <c r="F91"/>
      <c r="G91" t="s">
        <v>22</v>
      </c>
    </row>
    <row r="92" spans="2:7">
      <c r="B92" t="s">
        <v>140</v>
      </c>
      <c r="D92" s="39">
        <v>177</v>
      </c>
      <c r="E92" t="s">
        <v>25</v>
      </c>
      <c r="F92"/>
      <c r="G92" t="s">
        <v>26</v>
      </c>
    </row>
    <row r="93" spans="2:7">
      <c r="B93" t="s">
        <v>141</v>
      </c>
      <c r="D93" s="39">
        <v>294</v>
      </c>
      <c r="E93" t="s">
        <v>28</v>
      </c>
      <c r="F93"/>
      <c r="G93" t="s">
        <v>29</v>
      </c>
    </row>
    <row r="94" spans="2:7">
      <c r="B94" t="s">
        <v>142</v>
      </c>
      <c r="D94" s="39">
        <v>235</v>
      </c>
      <c r="E94" t="s">
        <v>31</v>
      </c>
      <c r="F94"/>
      <c r="G94" t="s">
        <v>32</v>
      </c>
    </row>
    <row r="95" spans="2:7">
      <c r="B95" t="s">
        <v>143</v>
      </c>
      <c r="D95" s="39">
        <v>420</v>
      </c>
      <c r="E95" t="s">
        <v>34</v>
      </c>
      <c r="F95"/>
      <c r="G95" t="s">
        <v>35</v>
      </c>
    </row>
    <row r="96" spans="2:7">
      <c r="B96" t="s">
        <v>144</v>
      </c>
      <c r="D96" s="39">
        <v>99</v>
      </c>
      <c r="E96" t="s">
        <v>37</v>
      </c>
      <c r="F96"/>
      <c r="G96" t="s">
        <v>38</v>
      </c>
    </row>
    <row r="97" spans="2:7">
      <c r="B97" t="s">
        <v>145</v>
      </c>
      <c r="D97" s="39">
        <v>67</v>
      </c>
      <c r="E97" t="s">
        <v>40</v>
      </c>
      <c r="F97"/>
      <c r="G97" t="s">
        <v>41</v>
      </c>
    </row>
    <row r="98" spans="2:7">
      <c r="B98" t="s">
        <v>146</v>
      </c>
      <c r="D98" s="39">
        <v>85</v>
      </c>
      <c r="E98" t="s">
        <v>43</v>
      </c>
      <c r="F98"/>
      <c r="G98" t="s">
        <v>44</v>
      </c>
    </row>
    <row r="99" spans="2:7">
      <c r="B99" t="s">
        <v>147</v>
      </c>
      <c r="D99" s="39">
        <v>93</v>
      </c>
      <c r="E99" t="s">
        <v>46</v>
      </c>
      <c r="F99"/>
      <c r="G99" t="s">
        <v>47</v>
      </c>
    </row>
    <row r="100" spans="2:7">
      <c r="B100" t="s">
        <v>148</v>
      </c>
      <c r="D100" s="39">
        <v>110</v>
      </c>
      <c r="E100" t="s">
        <v>49</v>
      </c>
      <c r="F100"/>
      <c r="G100" t="s">
        <v>50</v>
      </c>
    </row>
    <row r="101" spans="2:7">
      <c r="B101" t="s">
        <v>149</v>
      </c>
      <c r="D101" s="39">
        <v>175</v>
      </c>
      <c r="E101" t="s">
        <v>52</v>
      </c>
      <c r="F101"/>
      <c r="G101" t="s">
        <v>53</v>
      </c>
    </row>
    <row r="102" spans="2:7">
      <c r="B102" t="s">
        <v>150</v>
      </c>
      <c r="D102" s="39">
        <v>39</v>
      </c>
      <c r="E102" t="s">
        <v>55</v>
      </c>
      <c r="F102"/>
      <c r="G102" t="s">
        <v>56</v>
      </c>
    </row>
    <row r="103" spans="2:7">
      <c r="B103" t="s">
        <v>151</v>
      </c>
      <c r="D103" s="39">
        <v>485</v>
      </c>
      <c r="E103" t="s">
        <v>58</v>
      </c>
      <c r="F103"/>
      <c r="G103" t="s">
        <v>59</v>
      </c>
    </row>
    <row r="104" spans="2:7">
      <c r="B104" t="s">
        <v>152</v>
      </c>
      <c r="D104" s="39">
        <v>257</v>
      </c>
      <c r="E104" t="s">
        <v>61</v>
      </c>
      <c r="F104"/>
      <c r="G104" t="s">
        <v>62</v>
      </c>
    </row>
    <row r="105" spans="2:7">
      <c r="B105" t="s">
        <v>153</v>
      </c>
      <c r="D105" s="39">
        <v>130</v>
      </c>
      <c r="E105" t="s">
        <v>64</v>
      </c>
      <c r="F105"/>
      <c r="G105" t="s">
        <v>65</v>
      </c>
    </row>
    <row r="106" spans="2:7">
      <c r="B106" t="s">
        <v>154</v>
      </c>
      <c r="D106" s="39">
        <v>0</v>
      </c>
      <c r="E106" t="s">
        <v>67</v>
      </c>
      <c r="F106"/>
      <c r="G106" t="s">
        <v>68</v>
      </c>
    </row>
    <row r="107" spans="2:7">
      <c r="B107" t="s">
        <v>155</v>
      </c>
      <c r="D107" s="39">
        <v>79</v>
      </c>
      <c r="E107" t="s">
        <v>70</v>
      </c>
      <c r="F107"/>
      <c r="G107" t="s">
        <v>71</v>
      </c>
    </row>
    <row r="108" spans="2:7">
      <c r="B108" t="s">
        <v>156</v>
      </c>
      <c r="D108" s="39">
        <v>3845</v>
      </c>
      <c r="E108" t="s">
        <v>8</v>
      </c>
      <c r="F108"/>
      <c r="G108" t="s">
        <v>9</v>
      </c>
    </row>
    <row r="109" spans="2:7">
      <c r="B109" t="s">
        <v>157</v>
      </c>
      <c r="D109" s="39">
        <v>942</v>
      </c>
      <c r="E109" t="s">
        <v>12</v>
      </c>
      <c r="F109"/>
      <c r="G109" t="s">
        <v>13</v>
      </c>
    </row>
    <row r="110" spans="2:7">
      <c r="B110" t="s">
        <v>158</v>
      </c>
      <c r="D110" s="39">
        <v>123</v>
      </c>
      <c r="E110" t="s">
        <v>15</v>
      </c>
      <c r="F110"/>
      <c r="G110" t="s">
        <v>16</v>
      </c>
    </row>
    <row r="111" spans="2:7">
      <c r="B111" t="s">
        <v>159</v>
      </c>
      <c r="D111" s="39">
        <v>179</v>
      </c>
      <c r="E111" t="s">
        <v>18</v>
      </c>
      <c r="F111"/>
      <c r="G111" t="s">
        <v>19</v>
      </c>
    </row>
    <row r="112" spans="2:7">
      <c r="B112" t="s">
        <v>160</v>
      </c>
      <c r="D112" s="39">
        <v>1100</v>
      </c>
      <c r="E112" t="s">
        <v>21</v>
      </c>
      <c r="F112"/>
      <c r="G112" t="s">
        <v>22</v>
      </c>
    </row>
    <row r="113" spans="2:7">
      <c r="B113" t="s">
        <v>161</v>
      </c>
      <c r="D113" s="39">
        <v>196</v>
      </c>
      <c r="E113" t="s">
        <v>25</v>
      </c>
      <c r="F113"/>
      <c r="G113" t="s">
        <v>26</v>
      </c>
    </row>
    <row r="114" spans="2:7">
      <c r="B114" t="s">
        <v>162</v>
      </c>
      <c r="D114" s="39">
        <v>508</v>
      </c>
      <c r="E114" t="s">
        <v>28</v>
      </c>
      <c r="F114"/>
      <c r="G114" t="s">
        <v>29</v>
      </c>
    </row>
    <row r="115" spans="2:7">
      <c r="B115" t="s">
        <v>163</v>
      </c>
      <c r="D115" s="39">
        <v>228</v>
      </c>
      <c r="E115" t="s">
        <v>31</v>
      </c>
      <c r="F115"/>
      <c r="G115" t="s">
        <v>32</v>
      </c>
    </row>
    <row r="116" spans="2:7">
      <c r="B116" t="s">
        <v>164</v>
      </c>
      <c r="D116" s="39">
        <v>420</v>
      </c>
      <c r="E116" t="s">
        <v>34</v>
      </c>
      <c r="F116"/>
      <c r="G116" t="s">
        <v>35</v>
      </c>
    </row>
    <row r="117" spans="2:7">
      <c r="B117" t="s">
        <v>165</v>
      </c>
      <c r="D117" s="39">
        <v>148</v>
      </c>
      <c r="E117" t="s">
        <v>37</v>
      </c>
      <c r="F117"/>
      <c r="G117" t="s">
        <v>38</v>
      </c>
    </row>
    <row r="118" spans="2:7">
      <c r="B118" t="s">
        <v>166</v>
      </c>
      <c r="D118" s="39">
        <v>64</v>
      </c>
      <c r="E118" t="s">
        <v>40</v>
      </c>
      <c r="F118"/>
      <c r="G118" t="s">
        <v>41</v>
      </c>
    </row>
    <row r="119" spans="2:7">
      <c r="B119" t="s">
        <v>167</v>
      </c>
      <c r="D119" s="39">
        <v>31</v>
      </c>
      <c r="E119" t="s">
        <v>43</v>
      </c>
      <c r="F119"/>
      <c r="G119" t="s">
        <v>44</v>
      </c>
    </row>
    <row r="120" spans="2:7">
      <c r="B120" t="s">
        <v>168</v>
      </c>
      <c r="D120" s="39">
        <v>74</v>
      </c>
      <c r="E120" t="s">
        <v>46</v>
      </c>
      <c r="F120"/>
      <c r="G120" t="s">
        <v>47</v>
      </c>
    </row>
    <row r="121" spans="2:7">
      <c r="B121" t="s">
        <v>169</v>
      </c>
      <c r="D121" s="39">
        <v>130</v>
      </c>
      <c r="E121" t="s">
        <v>49</v>
      </c>
      <c r="F121"/>
      <c r="G121" t="s">
        <v>50</v>
      </c>
    </row>
    <row r="122" spans="2:7">
      <c r="B122" t="s">
        <v>170</v>
      </c>
      <c r="D122" s="39">
        <v>33</v>
      </c>
      <c r="E122" t="s">
        <v>52</v>
      </c>
      <c r="F122"/>
      <c r="G122" t="s">
        <v>53</v>
      </c>
    </row>
    <row r="123" spans="2:7">
      <c r="B123" t="s">
        <v>171</v>
      </c>
      <c r="D123" s="39">
        <v>27</v>
      </c>
      <c r="E123" t="s">
        <v>55</v>
      </c>
      <c r="F123"/>
      <c r="G123" t="s">
        <v>56</v>
      </c>
    </row>
    <row r="124" spans="2:7">
      <c r="B124" t="s">
        <v>172</v>
      </c>
      <c r="D124" s="39">
        <v>539</v>
      </c>
      <c r="E124" t="s">
        <v>58</v>
      </c>
      <c r="F124"/>
      <c r="G124" t="s">
        <v>59</v>
      </c>
    </row>
    <row r="125" spans="2:7">
      <c r="B125" t="s">
        <v>173</v>
      </c>
      <c r="D125" s="39">
        <v>229</v>
      </c>
      <c r="E125" t="s">
        <v>61</v>
      </c>
      <c r="F125"/>
      <c r="G125" t="s">
        <v>62</v>
      </c>
    </row>
    <row r="126" spans="2:7">
      <c r="B126" t="s">
        <v>174</v>
      </c>
      <c r="D126" s="39">
        <v>285</v>
      </c>
      <c r="E126" t="s">
        <v>64</v>
      </c>
      <c r="F126"/>
      <c r="G126" t="s">
        <v>65</v>
      </c>
    </row>
    <row r="127" spans="2:7">
      <c r="B127" t="s">
        <v>175</v>
      </c>
      <c r="D127" s="39">
        <v>0</v>
      </c>
      <c r="E127" t="s">
        <v>67</v>
      </c>
      <c r="F127"/>
      <c r="G127" t="s">
        <v>68</v>
      </c>
    </row>
    <row r="128" spans="2:7">
      <c r="B128" t="s">
        <v>176</v>
      </c>
      <c r="D128" s="39">
        <v>234</v>
      </c>
      <c r="E128" t="s">
        <v>70</v>
      </c>
      <c r="F128"/>
      <c r="G128" t="s">
        <v>71</v>
      </c>
    </row>
    <row r="129" spans="2:7">
      <c r="B129" t="s">
        <v>177</v>
      </c>
      <c r="D129" s="39">
        <v>3848</v>
      </c>
      <c r="E129" t="s">
        <v>8</v>
      </c>
      <c r="F129"/>
      <c r="G129" t="s">
        <v>9</v>
      </c>
    </row>
    <row r="130" spans="2:7">
      <c r="B130" t="s">
        <v>178</v>
      </c>
      <c r="D130" s="39">
        <v>882</v>
      </c>
      <c r="E130" t="s">
        <v>12</v>
      </c>
      <c r="F130"/>
      <c r="G130" t="s">
        <v>13</v>
      </c>
    </row>
    <row r="131" spans="2:7">
      <c r="B131" t="s">
        <v>179</v>
      </c>
      <c r="D131" s="39">
        <v>171</v>
      </c>
      <c r="E131" t="s">
        <v>15</v>
      </c>
      <c r="F131"/>
      <c r="G131" t="s">
        <v>16</v>
      </c>
    </row>
    <row r="132" spans="2:7">
      <c r="B132" t="s">
        <v>180</v>
      </c>
      <c r="D132" s="39">
        <v>197</v>
      </c>
      <c r="E132" t="s">
        <v>18</v>
      </c>
      <c r="F132"/>
      <c r="G132" t="s">
        <v>19</v>
      </c>
    </row>
    <row r="133" spans="2:7">
      <c r="B133" t="s">
        <v>181</v>
      </c>
      <c r="D133" s="39">
        <v>1100</v>
      </c>
      <c r="E133" t="s">
        <v>21</v>
      </c>
      <c r="F133"/>
      <c r="G133" t="s">
        <v>22</v>
      </c>
    </row>
    <row r="134" spans="2:7">
      <c r="B134" t="s">
        <v>182</v>
      </c>
      <c r="D134" s="39">
        <v>164</v>
      </c>
      <c r="E134" t="s">
        <v>25</v>
      </c>
      <c r="F134"/>
      <c r="G134" t="s">
        <v>26</v>
      </c>
    </row>
    <row r="135" spans="2:7">
      <c r="B135" t="s">
        <v>183</v>
      </c>
      <c r="D135" s="39">
        <v>23</v>
      </c>
      <c r="E135" t="s">
        <v>28</v>
      </c>
      <c r="F135"/>
      <c r="G135" t="s">
        <v>29</v>
      </c>
    </row>
    <row r="136" spans="2:7">
      <c r="B136" t="s">
        <v>184</v>
      </c>
      <c r="D136" s="39">
        <v>198</v>
      </c>
      <c r="E136" t="s">
        <v>31</v>
      </c>
      <c r="F136"/>
      <c r="G136" t="s">
        <v>32</v>
      </c>
    </row>
    <row r="137" spans="2:7">
      <c r="B137" t="s">
        <v>185</v>
      </c>
      <c r="D137" s="39">
        <v>420</v>
      </c>
      <c r="E137" t="s">
        <v>34</v>
      </c>
      <c r="F137"/>
      <c r="G137" t="s">
        <v>35</v>
      </c>
    </row>
    <row r="138" spans="2:7">
      <c r="B138" t="s">
        <v>186</v>
      </c>
      <c r="D138" s="39">
        <v>135</v>
      </c>
      <c r="E138" t="s">
        <v>37</v>
      </c>
      <c r="F138"/>
      <c r="G138" t="s">
        <v>38</v>
      </c>
    </row>
    <row r="139" spans="2:7">
      <c r="B139" t="s">
        <v>187</v>
      </c>
      <c r="D139" s="39">
        <v>70</v>
      </c>
      <c r="E139" t="s">
        <v>40</v>
      </c>
      <c r="F139"/>
      <c r="G139" t="s">
        <v>41</v>
      </c>
    </row>
    <row r="140" spans="2:7">
      <c r="B140" t="s">
        <v>188</v>
      </c>
      <c r="D140" s="39">
        <v>98</v>
      </c>
      <c r="E140" t="s">
        <v>43</v>
      </c>
      <c r="F140"/>
      <c r="G140" t="s">
        <v>44</v>
      </c>
    </row>
    <row r="141" spans="2:7">
      <c r="B141" t="s">
        <v>189</v>
      </c>
      <c r="D141" s="39">
        <v>54</v>
      </c>
      <c r="E141" t="s">
        <v>46</v>
      </c>
      <c r="F141"/>
      <c r="G141" t="s">
        <v>47</v>
      </c>
    </row>
    <row r="142" spans="2:7">
      <c r="B142" t="s">
        <v>190</v>
      </c>
      <c r="D142" s="39">
        <v>131</v>
      </c>
      <c r="E142" t="s">
        <v>49</v>
      </c>
      <c r="F142"/>
      <c r="G142" t="s">
        <v>50</v>
      </c>
    </row>
    <row r="143" spans="2:7">
      <c r="B143" t="s">
        <v>191</v>
      </c>
      <c r="D143" s="39">
        <v>30</v>
      </c>
      <c r="E143" t="s">
        <v>52</v>
      </c>
      <c r="F143"/>
      <c r="G143" t="s">
        <v>53</v>
      </c>
    </row>
    <row r="144" spans="2:7">
      <c r="B144" t="s">
        <v>192</v>
      </c>
      <c r="D144" s="39">
        <v>47</v>
      </c>
      <c r="E144" t="s">
        <v>55</v>
      </c>
      <c r="F144"/>
      <c r="G144" t="s">
        <v>56</v>
      </c>
    </row>
    <row r="145" spans="2:7">
      <c r="B145" t="s">
        <v>193</v>
      </c>
      <c r="D145" s="39">
        <v>433</v>
      </c>
      <c r="E145" t="s">
        <v>58</v>
      </c>
      <c r="F145"/>
      <c r="G145" t="s">
        <v>59</v>
      </c>
    </row>
    <row r="146" spans="2:7">
      <c r="B146" t="s">
        <v>194</v>
      </c>
      <c r="D146" s="39">
        <v>183</v>
      </c>
      <c r="E146" t="s">
        <v>61</v>
      </c>
      <c r="F146"/>
      <c r="G146" t="s">
        <v>62</v>
      </c>
    </row>
    <row r="147" spans="2:7">
      <c r="B147" t="s">
        <v>195</v>
      </c>
      <c r="D147" s="39">
        <v>309</v>
      </c>
      <c r="E147" t="s">
        <v>64</v>
      </c>
      <c r="F147"/>
      <c r="G147" t="s">
        <v>65</v>
      </c>
    </row>
    <row r="148" spans="2:7">
      <c r="B148" t="s">
        <v>196</v>
      </c>
      <c r="D148" s="39">
        <v>507</v>
      </c>
      <c r="E148" t="s">
        <v>67</v>
      </c>
      <c r="F148"/>
      <c r="G148" t="s">
        <v>68</v>
      </c>
    </row>
    <row r="149" spans="2:7">
      <c r="B149" t="s">
        <v>197</v>
      </c>
      <c r="D149" s="39">
        <v>161</v>
      </c>
      <c r="E149" t="s">
        <v>70</v>
      </c>
      <c r="F149"/>
      <c r="G149" t="s">
        <v>71</v>
      </c>
    </row>
    <row r="150" spans="2:7">
      <c r="B150" t="s">
        <v>198</v>
      </c>
      <c r="D150" s="39">
        <v>3848</v>
      </c>
      <c r="E150" t="s">
        <v>8</v>
      </c>
      <c r="F150"/>
      <c r="G150" t="s">
        <v>9</v>
      </c>
    </row>
    <row r="151" spans="2:7">
      <c r="B151" t="s">
        <v>199</v>
      </c>
      <c r="D151" s="39">
        <v>1316</v>
      </c>
      <c r="E151" t="s">
        <v>12</v>
      </c>
      <c r="F151"/>
      <c r="G151" t="s">
        <v>13</v>
      </c>
    </row>
    <row r="152" spans="2:7">
      <c r="B152" t="s">
        <v>200</v>
      </c>
      <c r="D152" s="39">
        <v>90</v>
      </c>
      <c r="E152" t="s">
        <v>15</v>
      </c>
      <c r="F152"/>
      <c r="G152" t="s">
        <v>16</v>
      </c>
    </row>
    <row r="153" spans="2:7">
      <c r="B153" t="s">
        <v>201</v>
      </c>
      <c r="D153" s="39">
        <v>85</v>
      </c>
      <c r="E153" t="s">
        <v>18</v>
      </c>
      <c r="F153"/>
      <c r="G153" t="s">
        <v>19</v>
      </c>
    </row>
    <row r="154" spans="2:7">
      <c r="B154" t="s">
        <v>202</v>
      </c>
      <c r="D154" s="39">
        <v>1100</v>
      </c>
      <c r="E154" t="s">
        <v>21</v>
      </c>
      <c r="F154"/>
      <c r="G154" t="s">
        <v>22</v>
      </c>
    </row>
    <row r="155" spans="2:7">
      <c r="B155" t="s">
        <v>203</v>
      </c>
      <c r="D155" s="39">
        <v>177</v>
      </c>
      <c r="E155" t="s">
        <v>25</v>
      </c>
      <c r="F155"/>
      <c r="G155" t="s">
        <v>26</v>
      </c>
    </row>
    <row r="156" spans="2:7">
      <c r="B156" t="s">
        <v>204</v>
      </c>
      <c r="D156" s="39">
        <v>411</v>
      </c>
      <c r="E156" t="s">
        <v>28</v>
      </c>
      <c r="F156"/>
      <c r="G156" t="s">
        <v>29</v>
      </c>
    </row>
    <row r="157" spans="2:7">
      <c r="B157" t="s">
        <v>205</v>
      </c>
      <c r="D157" s="39">
        <v>220</v>
      </c>
      <c r="E157" t="s">
        <v>31</v>
      </c>
      <c r="F157"/>
      <c r="G157" t="s">
        <v>32</v>
      </c>
    </row>
    <row r="158" spans="2:7">
      <c r="B158" t="s">
        <v>206</v>
      </c>
      <c r="D158" s="39">
        <v>420</v>
      </c>
      <c r="E158" t="s">
        <v>34</v>
      </c>
      <c r="F158"/>
      <c r="G158" t="s">
        <v>35</v>
      </c>
    </row>
    <row r="159" spans="2:7">
      <c r="B159" t="s">
        <v>207</v>
      </c>
      <c r="D159" s="39">
        <v>125</v>
      </c>
      <c r="E159" t="s">
        <v>37</v>
      </c>
      <c r="F159"/>
      <c r="G159" t="s">
        <v>38</v>
      </c>
    </row>
    <row r="160" spans="2:7">
      <c r="B160" t="s">
        <v>208</v>
      </c>
      <c r="D160" s="39">
        <v>68</v>
      </c>
      <c r="E160" t="s">
        <v>40</v>
      </c>
      <c r="F160"/>
      <c r="G160" t="s">
        <v>41</v>
      </c>
    </row>
    <row r="161" spans="2:7">
      <c r="B161" t="s">
        <v>209</v>
      </c>
      <c r="D161" s="39">
        <v>75</v>
      </c>
      <c r="E161" t="s">
        <v>43</v>
      </c>
      <c r="F161"/>
      <c r="G161" t="s">
        <v>44</v>
      </c>
    </row>
    <row r="162" spans="2:7">
      <c r="B162" t="s">
        <v>210</v>
      </c>
      <c r="D162" s="39">
        <v>150</v>
      </c>
      <c r="E162" t="s">
        <v>46</v>
      </c>
      <c r="F162"/>
      <c r="G162" t="s">
        <v>47</v>
      </c>
    </row>
    <row r="163" spans="2:7">
      <c r="B163" t="s">
        <v>211</v>
      </c>
      <c r="D163" s="39">
        <v>135</v>
      </c>
      <c r="E163" t="s">
        <v>49</v>
      </c>
      <c r="F163"/>
      <c r="G163" t="s">
        <v>50</v>
      </c>
    </row>
    <row r="164" spans="2:7">
      <c r="B164" t="s">
        <v>212</v>
      </c>
      <c r="D164" s="39">
        <v>142</v>
      </c>
      <c r="E164" t="s">
        <v>52</v>
      </c>
      <c r="F164"/>
      <c r="G164" t="s">
        <v>53</v>
      </c>
    </row>
    <row r="165" spans="2:7">
      <c r="B165" t="s">
        <v>213</v>
      </c>
      <c r="D165" s="39">
        <v>110</v>
      </c>
      <c r="E165" t="s">
        <v>55</v>
      </c>
      <c r="F165"/>
      <c r="G165" t="s">
        <v>56</v>
      </c>
    </row>
    <row r="166" spans="2:7">
      <c r="B166" t="s">
        <v>214</v>
      </c>
      <c r="D166" s="39">
        <v>466</v>
      </c>
      <c r="E166" t="s">
        <v>58</v>
      </c>
      <c r="F166"/>
      <c r="G166" t="s">
        <v>59</v>
      </c>
    </row>
    <row r="167" spans="2:7">
      <c r="B167" t="s">
        <v>215</v>
      </c>
      <c r="D167" s="39">
        <v>241</v>
      </c>
      <c r="E167" t="s">
        <v>61</v>
      </c>
      <c r="F167"/>
      <c r="G167" t="s">
        <v>62</v>
      </c>
    </row>
    <row r="168" spans="2:7">
      <c r="B168" t="s">
        <v>216</v>
      </c>
      <c r="D168" s="39">
        <v>294</v>
      </c>
      <c r="E168" t="s">
        <v>64</v>
      </c>
      <c r="F168"/>
      <c r="G168" t="s">
        <v>65</v>
      </c>
    </row>
    <row r="169" spans="2:7">
      <c r="B169" t="s">
        <v>217</v>
      </c>
      <c r="D169" s="39">
        <v>779</v>
      </c>
      <c r="E169" t="s">
        <v>67</v>
      </c>
      <c r="F169"/>
      <c r="G169" t="s">
        <v>68</v>
      </c>
    </row>
    <row r="170" spans="2:7">
      <c r="B170" t="s">
        <v>218</v>
      </c>
      <c r="D170" s="39">
        <v>119</v>
      </c>
      <c r="E170" t="s">
        <v>70</v>
      </c>
      <c r="F170"/>
      <c r="G170" t="s">
        <v>71</v>
      </c>
    </row>
    <row r="171" spans="2:7">
      <c r="B171" t="s">
        <v>219</v>
      </c>
      <c r="D171" s="39">
        <v>3848</v>
      </c>
      <c r="E171" t="s">
        <v>8</v>
      </c>
      <c r="F171"/>
      <c r="G171" t="s">
        <v>9</v>
      </c>
    </row>
    <row r="172" spans="2:7">
      <c r="B172" t="s">
        <v>220</v>
      </c>
      <c r="D172" s="39">
        <v>469</v>
      </c>
      <c r="E172" t="s">
        <v>12</v>
      </c>
      <c r="F172"/>
      <c r="G172" t="s">
        <v>13</v>
      </c>
    </row>
    <row r="173" spans="2:7">
      <c r="B173" t="s">
        <v>221</v>
      </c>
      <c r="D173" s="39">
        <v>102</v>
      </c>
      <c r="E173" t="s">
        <v>15</v>
      </c>
      <c r="F173"/>
      <c r="G173" t="s">
        <v>16</v>
      </c>
    </row>
    <row r="174" spans="2:7">
      <c r="B174" t="s">
        <v>222</v>
      </c>
      <c r="D174" s="39">
        <v>77</v>
      </c>
      <c r="E174" t="s">
        <v>18</v>
      </c>
      <c r="F174"/>
      <c r="G174" t="s">
        <v>19</v>
      </c>
    </row>
    <row r="175" spans="2:7">
      <c r="B175" t="s">
        <v>223</v>
      </c>
      <c r="D175" s="39">
        <v>1100</v>
      </c>
      <c r="E175" t="s">
        <v>21</v>
      </c>
      <c r="F175"/>
      <c r="G175" t="s">
        <v>22</v>
      </c>
    </row>
    <row r="176" spans="2:7">
      <c r="B176" t="s">
        <v>224</v>
      </c>
      <c r="D176" s="39">
        <v>149</v>
      </c>
      <c r="E176" t="s">
        <v>25</v>
      </c>
      <c r="F176"/>
      <c r="G176" t="s">
        <v>26</v>
      </c>
    </row>
    <row r="177" spans="2:7">
      <c r="B177" t="s">
        <v>225</v>
      </c>
      <c r="D177" s="39">
        <v>674</v>
      </c>
      <c r="E177" t="s">
        <v>28</v>
      </c>
      <c r="F177"/>
      <c r="G177" t="s">
        <v>29</v>
      </c>
    </row>
    <row r="178" spans="2:7">
      <c r="B178" t="s">
        <v>226</v>
      </c>
      <c r="D178" s="39">
        <v>139</v>
      </c>
      <c r="E178" t="s">
        <v>31</v>
      </c>
      <c r="F178"/>
      <c r="G178" t="s">
        <v>32</v>
      </c>
    </row>
    <row r="179" spans="2:7">
      <c r="B179" t="s">
        <v>227</v>
      </c>
      <c r="D179" s="39">
        <v>420</v>
      </c>
      <c r="E179" t="s">
        <v>34</v>
      </c>
      <c r="F179"/>
      <c r="G179" t="s">
        <v>35</v>
      </c>
    </row>
    <row r="180" spans="2:7">
      <c r="B180" t="s">
        <v>228</v>
      </c>
      <c r="D180" s="39">
        <v>91</v>
      </c>
      <c r="E180" t="s">
        <v>37</v>
      </c>
      <c r="F180"/>
      <c r="G180" t="s">
        <v>38</v>
      </c>
    </row>
    <row r="181" spans="2:7">
      <c r="B181" t="s">
        <v>229</v>
      </c>
      <c r="D181" s="39">
        <v>91</v>
      </c>
      <c r="E181" t="s">
        <v>40</v>
      </c>
      <c r="F181"/>
      <c r="G181" t="s">
        <v>41</v>
      </c>
    </row>
    <row r="182" spans="2:7">
      <c r="B182" t="s">
        <v>230</v>
      </c>
      <c r="D182" s="39">
        <v>95</v>
      </c>
      <c r="E182" t="s">
        <v>43</v>
      </c>
      <c r="F182"/>
      <c r="G182" t="s">
        <v>44</v>
      </c>
    </row>
    <row r="183" spans="2:7">
      <c r="B183" t="s">
        <v>231</v>
      </c>
      <c r="D183" s="39">
        <v>63</v>
      </c>
      <c r="E183" t="s">
        <v>46</v>
      </c>
      <c r="F183"/>
      <c r="G183" t="s">
        <v>47</v>
      </c>
    </row>
    <row r="184" spans="2:7">
      <c r="B184" t="s">
        <v>232</v>
      </c>
      <c r="D184" s="39">
        <v>116</v>
      </c>
      <c r="E184" t="s">
        <v>49</v>
      </c>
      <c r="F184"/>
      <c r="G184" t="s">
        <v>50</v>
      </c>
    </row>
    <row r="185" spans="2:7">
      <c r="B185" t="s">
        <v>233</v>
      </c>
      <c r="D185" s="39">
        <v>144</v>
      </c>
      <c r="E185" t="s">
        <v>52</v>
      </c>
      <c r="F185"/>
      <c r="G185" t="s">
        <v>53</v>
      </c>
    </row>
    <row r="186" spans="2:7">
      <c r="B186" t="s">
        <v>234</v>
      </c>
      <c r="D186" s="39">
        <v>20</v>
      </c>
      <c r="E186" t="s">
        <v>55</v>
      </c>
      <c r="F186"/>
      <c r="G186" t="s">
        <v>56</v>
      </c>
    </row>
    <row r="187" spans="2:7">
      <c r="B187" t="s">
        <v>235</v>
      </c>
      <c r="D187" s="39">
        <v>397</v>
      </c>
      <c r="E187" t="s">
        <v>58</v>
      </c>
      <c r="F187"/>
      <c r="G187" t="s">
        <v>59</v>
      </c>
    </row>
    <row r="188" spans="2:7">
      <c r="B188" t="s">
        <v>236</v>
      </c>
      <c r="D188" s="39">
        <v>257</v>
      </c>
      <c r="E188" t="s">
        <v>61</v>
      </c>
      <c r="F188"/>
      <c r="G188" t="s">
        <v>62</v>
      </c>
    </row>
    <row r="189" spans="2:7">
      <c r="B189" t="s">
        <v>237</v>
      </c>
      <c r="D189" s="39">
        <v>256</v>
      </c>
      <c r="E189" t="s">
        <v>64</v>
      </c>
      <c r="F189"/>
      <c r="G189" t="s">
        <v>65</v>
      </c>
    </row>
    <row r="190" spans="2:7">
      <c r="B190" t="s">
        <v>238</v>
      </c>
      <c r="D190" s="39">
        <v>756</v>
      </c>
      <c r="E190" t="s">
        <v>67</v>
      </c>
      <c r="F190"/>
      <c r="G190" t="s">
        <v>68</v>
      </c>
    </row>
    <row r="191" spans="2:7">
      <c r="B191" t="s">
        <v>239</v>
      </c>
      <c r="D191" s="39">
        <v>216</v>
      </c>
      <c r="E191" t="s">
        <v>70</v>
      </c>
      <c r="F191"/>
      <c r="G191" t="s">
        <v>71</v>
      </c>
    </row>
    <row r="192" spans="2:7">
      <c r="B192" t="s">
        <v>240</v>
      </c>
      <c r="D192" s="39">
        <v>3848</v>
      </c>
      <c r="E192" t="s">
        <v>8</v>
      </c>
      <c r="F192"/>
      <c r="G192" t="s">
        <v>9</v>
      </c>
    </row>
    <row r="193" spans="2:7">
      <c r="B193" t="s">
        <v>241</v>
      </c>
      <c r="D193" s="39">
        <v>952</v>
      </c>
      <c r="E193" t="s">
        <v>12</v>
      </c>
      <c r="F193"/>
      <c r="G193" t="s">
        <v>13</v>
      </c>
    </row>
    <row r="194" spans="2:7">
      <c r="B194" t="s">
        <v>242</v>
      </c>
      <c r="D194" s="39">
        <v>96</v>
      </c>
      <c r="E194" t="s">
        <v>15</v>
      </c>
      <c r="F194"/>
      <c r="G194" t="s">
        <v>16</v>
      </c>
    </row>
    <row r="195" spans="2:7">
      <c r="B195" t="s">
        <v>243</v>
      </c>
      <c r="D195" s="39">
        <v>263</v>
      </c>
      <c r="E195" t="s">
        <v>18</v>
      </c>
      <c r="F195"/>
      <c r="G195" t="s">
        <v>19</v>
      </c>
    </row>
    <row r="196" spans="2:7">
      <c r="B196" t="s">
        <v>244</v>
      </c>
      <c r="D196" s="39">
        <v>1100</v>
      </c>
      <c r="E196" t="s">
        <v>21</v>
      </c>
      <c r="F196"/>
      <c r="G196" t="s">
        <v>22</v>
      </c>
    </row>
    <row r="197" spans="2:7">
      <c r="B197" t="s">
        <v>245</v>
      </c>
      <c r="D197" s="39">
        <v>199</v>
      </c>
      <c r="E197" t="s">
        <v>25</v>
      </c>
      <c r="F197"/>
      <c r="G197" t="s">
        <v>26</v>
      </c>
    </row>
    <row r="198" spans="2:7">
      <c r="B198" t="s">
        <v>246</v>
      </c>
      <c r="D198" s="39">
        <v>670</v>
      </c>
      <c r="E198" t="s">
        <v>28</v>
      </c>
      <c r="F198"/>
      <c r="G198" t="s">
        <v>29</v>
      </c>
    </row>
    <row r="199" spans="2:7">
      <c r="B199" t="s">
        <v>247</v>
      </c>
      <c r="D199" s="39">
        <v>93</v>
      </c>
      <c r="E199" t="s">
        <v>31</v>
      </c>
      <c r="F199"/>
      <c r="G199" t="s">
        <v>32</v>
      </c>
    </row>
    <row r="200" spans="2:7">
      <c r="B200" t="s">
        <v>248</v>
      </c>
      <c r="D200" s="39">
        <v>420</v>
      </c>
      <c r="E200" t="s">
        <v>34</v>
      </c>
      <c r="F200"/>
      <c r="G200" t="s">
        <v>35</v>
      </c>
    </row>
    <row r="201" spans="2:7">
      <c r="B201" t="s">
        <v>249</v>
      </c>
      <c r="D201" s="39">
        <v>148</v>
      </c>
      <c r="E201" t="s">
        <v>37</v>
      </c>
      <c r="F201"/>
      <c r="G201" t="s">
        <v>38</v>
      </c>
    </row>
    <row r="202" spans="2:7">
      <c r="B202" t="s">
        <v>250</v>
      </c>
      <c r="D202" s="39">
        <v>95</v>
      </c>
      <c r="E202" t="s">
        <v>40</v>
      </c>
      <c r="F202"/>
      <c r="G202" t="s">
        <v>41</v>
      </c>
    </row>
    <row r="203" spans="2:7">
      <c r="B203" t="s">
        <v>251</v>
      </c>
      <c r="D203" s="39">
        <v>70</v>
      </c>
      <c r="E203" t="s">
        <v>43</v>
      </c>
      <c r="F203"/>
      <c r="G203" t="s">
        <v>44</v>
      </c>
    </row>
    <row r="204" spans="2:7">
      <c r="B204" t="s">
        <v>252</v>
      </c>
      <c r="D204" s="39">
        <v>90</v>
      </c>
      <c r="E204" t="s">
        <v>46</v>
      </c>
      <c r="F204"/>
      <c r="G204" t="s">
        <v>47</v>
      </c>
    </row>
    <row r="205" spans="2:7">
      <c r="B205" t="s">
        <v>253</v>
      </c>
      <c r="D205" s="39">
        <v>125</v>
      </c>
      <c r="E205" t="s">
        <v>49</v>
      </c>
      <c r="F205"/>
      <c r="G205" t="s">
        <v>50</v>
      </c>
    </row>
    <row r="206" spans="2:7">
      <c r="B206" t="s">
        <v>254</v>
      </c>
      <c r="D206" s="39">
        <v>201</v>
      </c>
      <c r="E206" t="s">
        <v>52</v>
      </c>
      <c r="F206"/>
      <c r="G206" t="s">
        <v>53</v>
      </c>
    </row>
    <row r="207" spans="2:7">
      <c r="B207" t="s">
        <v>255</v>
      </c>
      <c r="D207" s="39">
        <v>33</v>
      </c>
      <c r="E207" t="s">
        <v>55</v>
      </c>
      <c r="F207"/>
      <c r="G207" t="s">
        <v>56</v>
      </c>
    </row>
    <row r="208" spans="2:7">
      <c r="B208" t="s">
        <v>256</v>
      </c>
      <c r="D208" s="39">
        <v>483</v>
      </c>
      <c r="E208" t="s">
        <v>58</v>
      </c>
      <c r="F208"/>
      <c r="G208" t="s">
        <v>59</v>
      </c>
    </row>
    <row r="209" spans="2:7">
      <c r="B209" t="s">
        <v>257</v>
      </c>
      <c r="D209" s="39">
        <v>312</v>
      </c>
      <c r="E209" t="s">
        <v>61</v>
      </c>
      <c r="F209"/>
      <c r="G209" t="s">
        <v>62</v>
      </c>
    </row>
    <row r="210" spans="2:7">
      <c r="B210" t="s">
        <v>258</v>
      </c>
      <c r="D210" s="39">
        <v>222</v>
      </c>
      <c r="E210" t="s">
        <v>64</v>
      </c>
      <c r="F210"/>
      <c r="G210" t="s">
        <v>65</v>
      </c>
    </row>
    <row r="211" spans="2:7">
      <c r="B211" t="s">
        <v>259</v>
      </c>
      <c r="D211" s="39">
        <v>127</v>
      </c>
      <c r="E211" t="s">
        <v>67</v>
      </c>
      <c r="F211"/>
      <c r="G211" t="s">
        <v>68</v>
      </c>
    </row>
    <row r="212" spans="2:7">
      <c r="B212" t="s">
        <v>260</v>
      </c>
      <c r="D212" s="39">
        <v>108</v>
      </c>
      <c r="E212" t="s">
        <v>70</v>
      </c>
      <c r="F212"/>
      <c r="G212" t="s">
        <v>71</v>
      </c>
    </row>
    <row r="213" spans="2:7">
      <c r="B213" t="s">
        <v>261</v>
      </c>
      <c r="D213" s="39">
        <v>3848</v>
      </c>
      <c r="E213" t="s">
        <v>8</v>
      </c>
      <c r="F213"/>
      <c r="G213" t="s">
        <v>9</v>
      </c>
    </row>
    <row r="214" spans="2:7">
      <c r="B214" t="s">
        <v>262</v>
      </c>
      <c r="D214" s="39">
        <v>727</v>
      </c>
      <c r="E214" t="s">
        <v>12</v>
      </c>
      <c r="F214"/>
      <c r="G214" t="s">
        <v>13</v>
      </c>
    </row>
    <row r="215" spans="2:7">
      <c r="B215" t="s">
        <v>263</v>
      </c>
      <c r="D215" s="39">
        <v>136</v>
      </c>
      <c r="E215" t="s">
        <v>15</v>
      </c>
      <c r="F215"/>
      <c r="G215" t="s">
        <v>16</v>
      </c>
    </row>
    <row r="216" spans="2:7">
      <c r="B216" t="s">
        <v>264</v>
      </c>
      <c r="D216" s="39">
        <v>83</v>
      </c>
      <c r="E216" t="s">
        <v>18</v>
      </c>
      <c r="F216"/>
      <c r="G216" t="s">
        <v>19</v>
      </c>
    </row>
    <row r="217" spans="2:7">
      <c r="B217" t="s">
        <v>265</v>
      </c>
      <c r="D217" s="39">
        <v>1100</v>
      </c>
      <c r="E217" t="s">
        <v>21</v>
      </c>
      <c r="F217"/>
      <c r="G217" t="s">
        <v>22</v>
      </c>
    </row>
    <row r="218" spans="2:7">
      <c r="B218" t="s">
        <v>266</v>
      </c>
      <c r="D218" s="39">
        <v>134</v>
      </c>
      <c r="E218" t="s">
        <v>25</v>
      </c>
      <c r="F218"/>
      <c r="G218" t="s">
        <v>26</v>
      </c>
    </row>
    <row r="219" spans="2:7">
      <c r="B219" t="s">
        <v>267</v>
      </c>
      <c r="D219" s="39">
        <v>348</v>
      </c>
      <c r="E219" t="s">
        <v>28</v>
      </c>
      <c r="F219"/>
      <c r="G219" t="s">
        <v>29</v>
      </c>
    </row>
    <row r="220" spans="2:7">
      <c r="B220" t="s">
        <v>268</v>
      </c>
      <c r="D220" s="39">
        <v>233</v>
      </c>
      <c r="E220" t="s">
        <v>31</v>
      </c>
      <c r="F220"/>
      <c r="G220" t="s">
        <v>32</v>
      </c>
    </row>
    <row r="221" spans="2:7">
      <c r="B221" t="s">
        <v>269</v>
      </c>
      <c r="D221" s="39">
        <v>420</v>
      </c>
      <c r="E221" t="s">
        <v>34</v>
      </c>
      <c r="F221"/>
      <c r="G221" t="s">
        <v>35</v>
      </c>
    </row>
    <row r="222" spans="2:7">
      <c r="B222" t="s">
        <v>270</v>
      </c>
      <c r="D222" s="39">
        <v>96</v>
      </c>
      <c r="E222" t="s">
        <v>37</v>
      </c>
      <c r="F222"/>
      <c r="G222" t="s">
        <v>38</v>
      </c>
    </row>
    <row r="223" spans="2:7">
      <c r="B223" t="s">
        <v>271</v>
      </c>
      <c r="D223" s="39">
        <v>66</v>
      </c>
      <c r="E223" t="s">
        <v>40</v>
      </c>
      <c r="F223"/>
      <c r="G223" t="s">
        <v>41</v>
      </c>
    </row>
    <row r="224" spans="2:7">
      <c r="B224" t="s">
        <v>272</v>
      </c>
      <c r="D224" s="39">
        <v>20</v>
      </c>
      <c r="E224" t="s">
        <v>43</v>
      </c>
      <c r="F224"/>
      <c r="G224" t="s">
        <v>44</v>
      </c>
    </row>
    <row r="225" spans="2:7">
      <c r="B225" t="s">
        <v>273</v>
      </c>
      <c r="D225" s="39">
        <v>112</v>
      </c>
      <c r="E225" t="s">
        <v>46</v>
      </c>
      <c r="F225"/>
      <c r="G225" t="s">
        <v>47</v>
      </c>
    </row>
    <row r="226" spans="2:7">
      <c r="B226" t="s">
        <v>274</v>
      </c>
      <c r="D226" s="39">
        <v>109</v>
      </c>
      <c r="E226" t="s">
        <v>49</v>
      </c>
      <c r="F226"/>
      <c r="G226" t="s">
        <v>50</v>
      </c>
    </row>
    <row r="227" spans="2:7">
      <c r="B227" t="s">
        <v>275</v>
      </c>
      <c r="D227" s="39">
        <v>274</v>
      </c>
      <c r="E227" t="s">
        <v>52</v>
      </c>
      <c r="F227"/>
      <c r="G227" t="s">
        <v>53</v>
      </c>
    </row>
    <row r="228" spans="2:7">
      <c r="B228" t="s">
        <v>276</v>
      </c>
      <c r="D228" s="39">
        <v>32</v>
      </c>
      <c r="E228" t="s">
        <v>55</v>
      </c>
      <c r="F228"/>
      <c r="G228" t="s">
        <v>56</v>
      </c>
    </row>
    <row r="229" spans="2:7">
      <c r="B229" t="s">
        <v>277</v>
      </c>
      <c r="D229" s="39">
        <v>453</v>
      </c>
      <c r="E229" t="s">
        <v>58</v>
      </c>
      <c r="F229"/>
      <c r="G229" t="s">
        <v>59</v>
      </c>
    </row>
    <row r="230" spans="2:7">
      <c r="B230" t="s">
        <v>278</v>
      </c>
      <c r="D230" s="39">
        <v>307</v>
      </c>
      <c r="E230" t="s">
        <v>61</v>
      </c>
      <c r="F230"/>
      <c r="G230" t="s">
        <v>62</v>
      </c>
    </row>
    <row r="231" spans="2:7">
      <c r="B231" t="s">
        <v>279</v>
      </c>
      <c r="D231" s="39">
        <v>126</v>
      </c>
      <c r="E231" t="s">
        <v>64</v>
      </c>
      <c r="F231"/>
      <c r="G231" t="s">
        <v>65</v>
      </c>
    </row>
    <row r="232" spans="2:7">
      <c r="B232" t="s">
        <v>280</v>
      </c>
      <c r="D232" s="39">
        <v>144</v>
      </c>
      <c r="E232" t="s">
        <v>67</v>
      </c>
      <c r="F232"/>
      <c r="G232" t="s">
        <v>68</v>
      </c>
    </row>
    <row r="233" spans="2:7">
      <c r="B233" t="s">
        <v>281</v>
      </c>
      <c r="D233" s="39">
        <v>283</v>
      </c>
      <c r="E233" t="s">
        <v>70</v>
      </c>
      <c r="F233"/>
      <c r="G233" t="s">
        <v>71</v>
      </c>
    </row>
    <row r="234" spans="2:7">
      <c r="B234" t="s">
        <v>282</v>
      </c>
      <c r="D234" s="39">
        <v>3848</v>
      </c>
      <c r="E234" t="s">
        <v>8</v>
      </c>
      <c r="F234"/>
      <c r="G234" t="s">
        <v>9</v>
      </c>
    </row>
    <row r="235" spans="2:7">
      <c r="B235" t="s">
        <v>283</v>
      </c>
      <c r="D235" s="39">
        <v>1070</v>
      </c>
      <c r="E235" t="s">
        <v>12</v>
      </c>
      <c r="F235"/>
      <c r="G235" t="s">
        <v>13</v>
      </c>
    </row>
    <row r="236" spans="2:7">
      <c r="B236" t="s">
        <v>284</v>
      </c>
      <c r="D236" s="39">
        <v>99</v>
      </c>
      <c r="E236" t="s">
        <v>15</v>
      </c>
      <c r="F236"/>
      <c r="G236" t="s">
        <v>16</v>
      </c>
    </row>
    <row r="237" spans="2:7">
      <c r="B237" t="s">
        <v>285</v>
      </c>
      <c r="D237" s="39">
        <v>129</v>
      </c>
      <c r="E237" t="s">
        <v>18</v>
      </c>
      <c r="F237"/>
      <c r="G237" t="s">
        <v>19</v>
      </c>
    </row>
    <row r="238" spans="2:7">
      <c r="B238" t="s">
        <v>286</v>
      </c>
      <c r="D238" s="39">
        <v>1100</v>
      </c>
      <c r="E238" t="s">
        <v>21</v>
      </c>
      <c r="F238"/>
      <c r="G238" t="s">
        <v>22</v>
      </c>
    </row>
    <row r="239" spans="2:7">
      <c r="B239" t="s">
        <v>287</v>
      </c>
      <c r="D239" s="39">
        <v>164</v>
      </c>
      <c r="E239" t="s">
        <v>25</v>
      </c>
      <c r="F239"/>
      <c r="G239" t="s">
        <v>26</v>
      </c>
    </row>
    <row r="240" spans="2:7">
      <c r="B240" t="s">
        <v>288</v>
      </c>
      <c r="D240" s="39">
        <v>616</v>
      </c>
      <c r="E240" t="s">
        <v>28</v>
      </c>
      <c r="F240"/>
      <c r="G240" t="s">
        <v>29</v>
      </c>
    </row>
    <row r="241" spans="2:7">
      <c r="B241" t="s">
        <v>289</v>
      </c>
      <c r="D241" s="39">
        <v>173</v>
      </c>
      <c r="E241" t="s">
        <v>31</v>
      </c>
      <c r="F241"/>
      <c r="G241" t="s">
        <v>32</v>
      </c>
    </row>
    <row r="242" spans="2:7">
      <c r="B242" t="s">
        <v>290</v>
      </c>
      <c r="D242" s="39">
        <v>420</v>
      </c>
      <c r="E242" t="s">
        <v>34</v>
      </c>
      <c r="F242"/>
      <c r="G242" t="s">
        <v>35</v>
      </c>
    </row>
    <row r="243" spans="2:7">
      <c r="B243" t="s">
        <v>291</v>
      </c>
      <c r="D243" s="39">
        <v>150</v>
      </c>
      <c r="E243" t="s">
        <v>37</v>
      </c>
      <c r="F243"/>
      <c r="G243" t="s">
        <v>38</v>
      </c>
    </row>
    <row r="244" spans="2:7">
      <c r="B244" t="s">
        <v>292</v>
      </c>
      <c r="D244" s="39">
        <v>67</v>
      </c>
      <c r="E244" t="s">
        <v>40</v>
      </c>
      <c r="F244"/>
      <c r="G244" t="s">
        <v>41</v>
      </c>
    </row>
    <row r="245" spans="2:7">
      <c r="B245" t="s">
        <v>293</v>
      </c>
      <c r="D245" s="39">
        <v>34</v>
      </c>
      <c r="E245" t="s">
        <v>43</v>
      </c>
      <c r="F245"/>
      <c r="G245" t="s">
        <v>44</v>
      </c>
    </row>
    <row r="246" spans="2:7">
      <c r="B246" t="s">
        <v>294</v>
      </c>
      <c r="D246" s="39">
        <v>148</v>
      </c>
      <c r="E246" t="s">
        <v>46</v>
      </c>
      <c r="F246"/>
      <c r="G246" t="s">
        <v>47</v>
      </c>
    </row>
    <row r="247" spans="2:7">
      <c r="B247" t="s">
        <v>295</v>
      </c>
      <c r="D247" s="39">
        <v>131</v>
      </c>
      <c r="E247" t="s">
        <v>49</v>
      </c>
      <c r="F247"/>
      <c r="G247" t="s">
        <v>50</v>
      </c>
    </row>
    <row r="248" spans="2:7">
      <c r="B248" t="s">
        <v>296</v>
      </c>
      <c r="D248" s="39">
        <v>238</v>
      </c>
      <c r="E248" t="s">
        <v>52</v>
      </c>
      <c r="F248"/>
      <c r="G248" t="s">
        <v>53</v>
      </c>
    </row>
    <row r="249" spans="2:7">
      <c r="B249" t="s">
        <v>297</v>
      </c>
      <c r="D249" s="39">
        <v>81</v>
      </c>
      <c r="E249" t="s">
        <v>55</v>
      </c>
      <c r="F249"/>
      <c r="G249" t="s">
        <v>56</v>
      </c>
    </row>
    <row r="250" spans="2:7">
      <c r="B250" t="s">
        <v>298</v>
      </c>
      <c r="D250" s="39">
        <v>483</v>
      </c>
      <c r="E250" t="s">
        <v>58</v>
      </c>
      <c r="F250"/>
      <c r="G250" t="s">
        <v>59</v>
      </c>
    </row>
    <row r="251" spans="2:7">
      <c r="B251" t="s">
        <v>299</v>
      </c>
      <c r="D251" s="39">
        <v>229</v>
      </c>
      <c r="E251" t="s">
        <v>61</v>
      </c>
      <c r="F251"/>
      <c r="G251" t="s">
        <v>62</v>
      </c>
    </row>
    <row r="252" spans="2:7">
      <c r="B252" t="s">
        <v>300</v>
      </c>
      <c r="D252" s="39">
        <v>141</v>
      </c>
      <c r="E252" t="s">
        <v>64</v>
      </c>
      <c r="F252"/>
      <c r="G252" t="s">
        <v>65</v>
      </c>
    </row>
    <row r="253" spans="2:7">
      <c r="B253" t="s">
        <v>301</v>
      </c>
      <c r="D253" s="39">
        <v>295</v>
      </c>
      <c r="E253" t="s">
        <v>67</v>
      </c>
      <c r="F253"/>
      <c r="G253" t="s">
        <v>68</v>
      </c>
    </row>
    <row r="254" spans="2:7">
      <c r="B254" t="s">
        <v>302</v>
      </c>
      <c r="D254" s="39">
        <v>86</v>
      </c>
      <c r="E254" t="s">
        <v>70</v>
      </c>
      <c r="F254"/>
      <c r="G254" t="s">
        <v>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4"/>
  <sheetViews>
    <sheetView zoomScale="115" zoomScaleNormal="115" workbookViewId="0">
      <selection activeCell="E22" sqref="E22"/>
    </sheetView>
  </sheetViews>
  <sheetFormatPr defaultColWidth="11.1666666666667" defaultRowHeight="15"/>
  <cols>
    <col min="1" max="1" width="4.33333333333333" customWidth="1"/>
    <col min="2" max="2" width="13.030303030303" customWidth="1"/>
    <col min="3" max="3" width="8.5" style="34" customWidth="1"/>
    <col min="4" max="4" width="8.83333333333333" style="34" customWidth="1"/>
    <col min="5" max="5" width="28.7727272727273" customWidth="1"/>
    <col min="6" max="6" width="13" style="34" customWidth="1"/>
    <col min="7" max="7" width="31.2121212121212" customWidth="1"/>
    <col min="8" max="8" width="8.33333333333333" customWidth="1"/>
    <col min="9" max="9" width="24.0833333333333" customWidth="1"/>
    <col min="10" max="10" width="11.8333333333333" style="34" customWidth="1"/>
  </cols>
  <sheetData>
    <row r="2" s="33" customFormat="1" ht="31.2" spans="2:10">
      <c r="B2" s="35" t="s">
        <v>0</v>
      </c>
      <c r="C2" s="36" t="s">
        <v>1</v>
      </c>
      <c r="D2" s="36" t="s">
        <v>2</v>
      </c>
      <c r="E2" s="36" t="s">
        <v>3</v>
      </c>
      <c r="F2" s="37" t="s">
        <v>4</v>
      </c>
      <c r="G2" s="38" t="s">
        <v>5</v>
      </c>
      <c r="I2" s="35" t="s">
        <v>3</v>
      </c>
      <c r="J2" s="38" t="s">
        <v>303</v>
      </c>
    </row>
    <row r="3" spans="2:10">
      <c r="B3" t="s">
        <v>7</v>
      </c>
      <c r="C3" s="34" t="str">
        <f>TEXT(B3,"mmm")</f>
        <v>Jan</v>
      </c>
      <c r="D3" s="39">
        <v>3282</v>
      </c>
      <c r="E3" t="s">
        <v>8</v>
      </c>
      <c r="F3" t="str">
        <f>_xlfn.XLOOKUP(Table1[[#This Row],[Type]],Table2[Type],Table2[Income /
Expense])</f>
        <v>Income</v>
      </c>
      <c r="G3" t="s">
        <v>9</v>
      </c>
      <c r="I3" t="s">
        <v>8</v>
      </c>
      <c r="J3" s="34" t="s">
        <v>10</v>
      </c>
    </row>
    <row r="4" spans="2:10">
      <c r="B4" t="s">
        <v>11</v>
      </c>
      <c r="C4" s="34" t="str">
        <f t="shared" ref="C4:C67" si="0">TEXT(B4,"mmm")</f>
        <v>Jan</v>
      </c>
      <c r="D4" s="39">
        <v>608</v>
      </c>
      <c r="E4" t="s">
        <v>12</v>
      </c>
      <c r="F4" t="str">
        <f>_xlfn.XLOOKUP(Table1[[#This Row],[Type]],Table2[Type],Table2[Income /
Expense])</f>
        <v>Income</v>
      </c>
      <c r="G4" t="s">
        <v>13</v>
      </c>
      <c r="I4" t="s">
        <v>12</v>
      </c>
      <c r="J4" s="34" t="s">
        <v>10</v>
      </c>
    </row>
    <row r="5" spans="2:10">
      <c r="B5" t="s">
        <v>14</v>
      </c>
      <c r="C5" s="34" t="str">
        <f t="shared" si="0"/>
        <v>Jan</v>
      </c>
      <c r="D5" s="39">
        <v>130</v>
      </c>
      <c r="E5" t="s">
        <v>15</v>
      </c>
      <c r="F5" t="str">
        <f>_xlfn.XLOOKUP(Table1[[#This Row],[Type]],Table2[Type],Table2[Income /
Expense])</f>
        <v>Income</v>
      </c>
      <c r="G5" t="s">
        <v>16</v>
      </c>
      <c r="I5" t="s">
        <v>15</v>
      </c>
      <c r="J5" s="34" t="s">
        <v>10</v>
      </c>
    </row>
    <row r="6" spans="2:10">
      <c r="B6" t="s">
        <v>17</v>
      </c>
      <c r="C6" s="34" t="str">
        <f t="shared" si="0"/>
        <v>Jan</v>
      </c>
      <c r="D6" s="39">
        <v>24</v>
      </c>
      <c r="E6" t="s">
        <v>18</v>
      </c>
      <c r="F6" t="str">
        <f>_xlfn.XLOOKUP(Table1[[#This Row],[Type]],Table2[Type],Table2[Income /
Expense])</f>
        <v>Income</v>
      </c>
      <c r="G6" t="s">
        <v>19</v>
      </c>
      <c r="I6" t="s">
        <v>18</v>
      </c>
      <c r="J6" s="34" t="s">
        <v>10</v>
      </c>
    </row>
    <row r="7" spans="2:10">
      <c r="B7" t="s">
        <v>20</v>
      </c>
      <c r="C7" s="34" t="str">
        <f t="shared" si="0"/>
        <v>Jan</v>
      </c>
      <c r="D7" s="39">
        <v>1100</v>
      </c>
      <c r="E7" t="s">
        <v>21</v>
      </c>
      <c r="F7" t="str">
        <f>_xlfn.XLOOKUP(Table1[[#This Row],[Type]],Table2[Type],Table2[Income /
Expense])</f>
        <v>Expense</v>
      </c>
      <c r="G7" t="s">
        <v>22</v>
      </c>
      <c r="I7" t="s">
        <v>21</v>
      </c>
      <c r="J7" s="34" t="s">
        <v>23</v>
      </c>
    </row>
    <row r="8" spans="2:10">
      <c r="B8" t="s">
        <v>24</v>
      </c>
      <c r="C8" s="34" t="str">
        <f t="shared" si="0"/>
        <v>Jan</v>
      </c>
      <c r="D8" s="39">
        <v>129</v>
      </c>
      <c r="E8" t="s">
        <v>25</v>
      </c>
      <c r="F8" t="str">
        <f>_xlfn.XLOOKUP(Table1[[#This Row],[Type]],Table2[Type],Table2[Income /
Expense])</f>
        <v>Expense</v>
      </c>
      <c r="G8" t="s">
        <v>26</v>
      </c>
      <c r="I8" t="s">
        <v>25</v>
      </c>
      <c r="J8" s="34" t="s">
        <v>23</v>
      </c>
    </row>
    <row r="9" spans="2:10">
      <c r="B9" t="s">
        <v>27</v>
      </c>
      <c r="C9" s="34" t="str">
        <f t="shared" si="0"/>
        <v>Jan</v>
      </c>
      <c r="D9" s="39">
        <v>840</v>
      </c>
      <c r="E9" t="s">
        <v>28</v>
      </c>
      <c r="F9" t="str">
        <f>_xlfn.XLOOKUP(Table1[[#This Row],[Type]],Table2[Type],Table2[Income /
Expense])</f>
        <v>Expense</v>
      </c>
      <c r="G9" t="s">
        <v>29</v>
      </c>
      <c r="I9" t="s">
        <v>28</v>
      </c>
      <c r="J9" s="34" t="s">
        <v>23</v>
      </c>
    </row>
    <row r="10" spans="2:10">
      <c r="B10" t="s">
        <v>30</v>
      </c>
      <c r="C10" s="34" t="str">
        <f t="shared" si="0"/>
        <v>Jan</v>
      </c>
      <c r="D10" s="39">
        <v>217</v>
      </c>
      <c r="E10" t="s">
        <v>31</v>
      </c>
      <c r="F10" t="str">
        <f>_xlfn.XLOOKUP(Table1[[#This Row],[Type]],Table2[Type],Table2[Income /
Expense])</f>
        <v>Expense</v>
      </c>
      <c r="G10" t="s">
        <v>32</v>
      </c>
      <c r="I10" t="s">
        <v>31</v>
      </c>
      <c r="J10" s="34" t="s">
        <v>23</v>
      </c>
    </row>
    <row r="11" spans="2:10">
      <c r="B11" t="s">
        <v>33</v>
      </c>
      <c r="C11" s="34" t="str">
        <f t="shared" si="0"/>
        <v>Jan</v>
      </c>
      <c r="D11" s="39">
        <v>420</v>
      </c>
      <c r="E11" t="s">
        <v>34</v>
      </c>
      <c r="F11" t="str">
        <f>_xlfn.XLOOKUP(Table1[[#This Row],[Type]],Table2[Type],Table2[Income /
Expense])</f>
        <v>Expense</v>
      </c>
      <c r="G11" t="s">
        <v>35</v>
      </c>
      <c r="I11" t="s">
        <v>34</v>
      </c>
      <c r="J11" s="34" t="s">
        <v>23</v>
      </c>
    </row>
    <row r="12" spans="2:10">
      <c r="B12" t="s">
        <v>36</v>
      </c>
      <c r="C12" s="34" t="str">
        <f t="shared" si="0"/>
        <v>Jan</v>
      </c>
      <c r="D12" s="39">
        <v>102</v>
      </c>
      <c r="E12" t="s">
        <v>37</v>
      </c>
      <c r="F12" t="str">
        <f>_xlfn.XLOOKUP(Table1[[#This Row],[Type]],Table2[Type],Table2[Income /
Expense])</f>
        <v>Expense</v>
      </c>
      <c r="G12" t="s">
        <v>38</v>
      </c>
      <c r="I12" t="s">
        <v>37</v>
      </c>
      <c r="J12" s="34" t="s">
        <v>23</v>
      </c>
    </row>
    <row r="13" spans="2:10">
      <c r="B13" t="s">
        <v>39</v>
      </c>
      <c r="C13" s="34" t="str">
        <f t="shared" si="0"/>
        <v>Jan</v>
      </c>
      <c r="D13" s="39">
        <v>83</v>
      </c>
      <c r="E13" t="s">
        <v>40</v>
      </c>
      <c r="F13" t="str">
        <f>_xlfn.XLOOKUP(Table1[[#This Row],[Type]],Table2[Type],Table2[Income /
Expense])</f>
        <v>Expense</v>
      </c>
      <c r="G13" t="s">
        <v>41</v>
      </c>
      <c r="I13" t="s">
        <v>40</v>
      </c>
      <c r="J13" s="34" t="s">
        <v>23</v>
      </c>
    </row>
    <row r="14" spans="2:10">
      <c r="B14" t="s">
        <v>42</v>
      </c>
      <c r="C14" s="34" t="str">
        <f t="shared" si="0"/>
        <v>Jan</v>
      </c>
      <c r="D14" s="39">
        <v>94</v>
      </c>
      <c r="E14" t="s">
        <v>43</v>
      </c>
      <c r="F14" t="str">
        <f>_xlfn.XLOOKUP(Table1[[#This Row],[Type]],Table2[Type],Table2[Income /
Expense])</f>
        <v>Expense</v>
      </c>
      <c r="G14" t="s">
        <v>44</v>
      </c>
      <c r="I14" t="s">
        <v>43</v>
      </c>
      <c r="J14" s="34" t="s">
        <v>23</v>
      </c>
    </row>
    <row r="15" spans="2:10">
      <c r="B15" t="s">
        <v>45</v>
      </c>
      <c r="C15" s="34" t="str">
        <f t="shared" si="0"/>
        <v>Jan</v>
      </c>
      <c r="D15" s="39">
        <v>47</v>
      </c>
      <c r="E15" t="s">
        <v>46</v>
      </c>
      <c r="F15" t="str">
        <f>_xlfn.XLOOKUP(Table1[[#This Row],[Type]],Table2[Type],Table2[Income /
Expense])</f>
        <v>Expense</v>
      </c>
      <c r="G15" t="s">
        <v>47</v>
      </c>
      <c r="I15" t="s">
        <v>46</v>
      </c>
      <c r="J15" s="34" t="s">
        <v>23</v>
      </c>
    </row>
    <row r="16" spans="2:10">
      <c r="B16" t="s">
        <v>48</v>
      </c>
      <c r="C16" s="34" t="str">
        <f t="shared" si="0"/>
        <v>Jan</v>
      </c>
      <c r="D16" s="39">
        <v>132</v>
      </c>
      <c r="E16" t="s">
        <v>49</v>
      </c>
      <c r="F16" t="str">
        <f>_xlfn.XLOOKUP(Table1[[#This Row],[Type]],Table2[Type],Table2[Income /
Expense])</f>
        <v>Expense</v>
      </c>
      <c r="G16" t="s">
        <v>50</v>
      </c>
      <c r="I16" t="s">
        <v>49</v>
      </c>
      <c r="J16" s="34" t="s">
        <v>23</v>
      </c>
    </row>
    <row r="17" spans="2:10">
      <c r="B17" t="s">
        <v>51</v>
      </c>
      <c r="C17" s="34" t="str">
        <f t="shared" si="0"/>
        <v>Jan</v>
      </c>
      <c r="D17" s="39">
        <v>109</v>
      </c>
      <c r="E17" t="s">
        <v>52</v>
      </c>
      <c r="F17" t="str">
        <f>_xlfn.XLOOKUP(Table1[[#This Row],[Type]],Table2[Type],Table2[Income /
Expense])</f>
        <v>Expense</v>
      </c>
      <c r="G17" t="s">
        <v>53</v>
      </c>
      <c r="I17" t="s">
        <v>52</v>
      </c>
      <c r="J17" s="34" t="s">
        <v>23</v>
      </c>
    </row>
    <row r="18" spans="2:10">
      <c r="B18" t="s">
        <v>54</v>
      </c>
      <c r="C18" s="34" t="str">
        <f t="shared" si="0"/>
        <v>Jan</v>
      </c>
      <c r="D18" s="39">
        <v>24</v>
      </c>
      <c r="E18" t="s">
        <v>55</v>
      </c>
      <c r="F18" t="str">
        <f>_xlfn.XLOOKUP(Table1[[#This Row],[Type]],Table2[Type],Table2[Income /
Expense])</f>
        <v>Expense</v>
      </c>
      <c r="G18" t="s">
        <v>56</v>
      </c>
      <c r="I18" t="s">
        <v>55</v>
      </c>
      <c r="J18" s="34" t="s">
        <v>23</v>
      </c>
    </row>
    <row r="19" spans="2:10">
      <c r="B19" t="s">
        <v>57</v>
      </c>
      <c r="C19" s="34" t="str">
        <f t="shared" si="0"/>
        <v>Jan</v>
      </c>
      <c r="D19" s="39">
        <v>382</v>
      </c>
      <c r="E19" t="s">
        <v>58</v>
      </c>
      <c r="F19" t="str">
        <f>_xlfn.XLOOKUP(Table1[[#This Row],[Type]],Table2[Type],Table2[Income /
Expense])</f>
        <v>Expense</v>
      </c>
      <c r="G19" t="s">
        <v>59</v>
      </c>
      <c r="I19" t="s">
        <v>58</v>
      </c>
      <c r="J19" s="34" t="s">
        <v>23</v>
      </c>
    </row>
    <row r="20" spans="2:10">
      <c r="B20" t="s">
        <v>60</v>
      </c>
      <c r="C20" s="34" t="str">
        <f t="shared" si="0"/>
        <v>Jan</v>
      </c>
      <c r="D20" s="39">
        <v>261</v>
      </c>
      <c r="E20" t="s">
        <v>61</v>
      </c>
      <c r="F20" t="str">
        <f>_xlfn.XLOOKUP(Table1[[#This Row],[Type]],Table2[Type],Table2[Income /
Expense])</f>
        <v>Expense</v>
      </c>
      <c r="G20" t="s">
        <v>62</v>
      </c>
      <c r="I20" t="s">
        <v>61</v>
      </c>
      <c r="J20" s="34" t="s">
        <v>23</v>
      </c>
    </row>
    <row r="21" spans="2:10">
      <c r="B21" t="s">
        <v>63</v>
      </c>
      <c r="C21" s="34" t="str">
        <f t="shared" si="0"/>
        <v>Jan</v>
      </c>
      <c r="D21" s="39">
        <v>227</v>
      </c>
      <c r="E21" t="s">
        <v>64</v>
      </c>
      <c r="F21" t="str">
        <f>_xlfn.XLOOKUP(Table1[[#This Row],[Type]],Table2[Type],Table2[Income /
Expense])</f>
        <v>Expense</v>
      </c>
      <c r="G21" t="s">
        <v>65</v>
      </c>
      <c r="I21" t="s">
        <v>64</v>
      </c>
      <c r="J21" s="34" t="s">
        <v>23</v>
      </c>
    </row>
    <row r="22" spans="2:10">
      <c r="B22" t="s">
        <v>66</v>
      </c>
      <c r="C22" s="34" t="str">
        <f t="shared" si="0"/>
        <v>Jan</v>
      </c>
      <c r="D22" s="39">
        <v>143</v>
      </c>
      <c r="E22" t="s">
        <v>67</v>
      </c>
      <c r="F22" t="str">
        <f>_xlfn.XLOOKUP(Table1[[#This Row],[Type]],Table2[Type],Table2[Income /
Expense])</f>
        <v>Expense</v>
      </c>
      <c r="G22" t="s">
        <v>68</v>
      </c>
      <c r="I22" t="s">
        <v>67</v>
      </c>
      <c r="J22" s="34" t="s">
        <v>23</v>
      </c>
    </row>
    <row r="23" spans="2:10">
      <c r="B23" t="s">
        <v>69</v>
      </c>
      <c r="C23" s="34" t="str">
        <f t="shared" si="0"/>
        <v>Jan</v>
      </c>
      <c r="D23" s="39">
        <v>121</v>
      </c>
      <c r="E23" t="s">
        <v>70</v>
      </c>
      <c r="F23" t="str">
        <f>_xlfn.XLOOKUP(Table1[[#This Row],[Type]],Table2[Type],Table2[Income /
Expense])</f>
        <v>Expense</v>
      </c>
      <c r="G23" t="s">
        <v>71</v>
      </c>
      <c r="I23" t="s">
        <v>70</v>
      </c>
      <c r="J23" s="34" t="s">
        <v>23</v>
      </c>
    </row>
    <row r="24" spans="2:7">
      <c r="B24" t="s">
        <v>72</v>
      </c>
      <c r="C24" s="34" t="str">
        <f t="shared" si="0"/>
        <v>Feb</v>
      </c>
      <c r="D24" s="39">
        <v>3223</v>
      </c>
      <c r="E24" t="s">
        <v>8</v>
      </c>
      <c r="F24" t="str">
        <f>_xlfn.XLOOKUP(Table1[[#This Row],[Type]],Table2[Type],Table2[Income /
Expense])</f>
        <v>Income</v>
      </c>
      <c r="G24" t="s">
        <v>9</v>
      </c>
    </row>
    <row r="25" spans="2:7">
      <c r="B25" t="s">
        <v>73</v>
      </c>
      <c r="C25" s="34" t="str">
        <f t="shared" si="0"/>
        <v>Feb</v>
      </c>
      <c r="D25" s="39">
        <v>1169</v>
      </c>
      <c r="E25" t="s">
        <v>12</v>
      </c>
      <c r="F25" t="str">
        <f>_xlfn.XLOOKUP(Table1[[#This Row],[Type]],Table2[Type],Table2[Income /
Expense])</f>
        <v>Income</v>
      </c>
      <c r="G25" t="s">
        <v>13</v>
      </c>
    </row>
    <row r="26" spans="2:7">
      <c r="B26" t="s">
        <v>74</v>
      </c>
      <c r="C26" s="34" t="str">
        <f t="shared" si="0"/>
        <v>Feb</v>
      </c>
      <c r="D26" s="39">
        <v>87</v>
      </c>
      <c r="E26" t="s">
        <v>15</v>
      </c>
      <c r="F26" t="str">
        <f>_xlfn.XLOOKUP(Table1[[#This Row],[Type]],Table2[Type],Table2[Income /
Expense])</f>
        <v>Income</v>
      </c>
      <c r="G26" t="s">
        <v>16</v>
      </c>
    </row>
    <row r="27" spans="2:7">
      <c r="B27" t="s">
        <v>75</v>
      </c>
      <c r="C27" s="34" t="str">
        <f t="shared" si="0"/>
        <v>Feb</v>
      </c>
      <c r="D27" s="39">
        <v>289</v>
      </c>
      <c r="E27" t="s">
        <v>18</v>
      </c>
      <c r="F27" t="str">
        <f>_xlfn.XLOOKUP(Table1[[#This Row],[Type]],Table2[Type],Table2[Income /
Expense])</f>
        <v>Income</v>
      </c>
      <c r="G27" t="s">
        <v>19</v>
      </c>
    </row>
    <row r="28" spans="2:7">
      <c r="B28" t="s">
        <v>76</v>
      </c>
      <c r="C28" s="34" t="str">
        <f t="shared" si="0"/>
        <v>Feb</v>
      </c>
      <c r="D28" s="39">
        <v>1100</v>
      </c>
      <c r="E28" t="s">
        <v>21</v>
      </c>
      <c r="F28" t="str">
        <f>_xlfn.XLOOKUP(Table1[[#This Row],[Type]],Table2[Type],Table2[Income /
Expense])</f>
        <v>Expense</v>
      </c>
      <c r="G28" t="s">
        <v>22</v>
      </c>
    </row>
    <row r="29" spans="2:7">
      <c r="B29" t="s">
        <v>77</v>
      </c>
      <c r="C29" s="34" t="str">
        <f t="shared" si="0"/>
        <v>Feb</v>
      </c>
      <c r="D29" s="39">
        <v>135</v>
      </c>
      <c r="E29" t="s">
        <v>25</v>
      </c>
      <c r="F29" t="str">
        <f>_xlfn.XLOOKUP(Table1[[#This Row],[Type]],Table2[Type],Table2[Income /
Expense])</f>
        <v>Expense</v>
      </c>
      <c r="G29" t="s">
        <v>26</v>
      </c>
    </row>
    <row r="30" spans="2:7">
      <c r="B30" t="s">
        <v>78</v>
      </c>
      <c r="C30" s="34" t="str">
        <f t="shared" si="0"/>
        <v>Feb</v>
      </c>
      <c r="D30" s="39">
        <v>228</v>
      </c>
      <c r="E30" t="s">
        <v>28</v>
      </c>
      <c r="F30" t="str">
        <f>_xlfn.XLOOKUP(Table1[[#This Row],[Type]],Table2[Type],Table2[Income /
Expense])</f>
        <v>Expense</v>
      </c>
      <c r="G30" t="s">
        <v>29</v>
      </c>
    </row>
    <row r="31" spans="2:7">
      <c r="B31" t="s">
        <v>79</v>
      </c>
      <c r="C31" s="34" t="str">
        <f t="shared" si="0"/>
        <v>Feb</v>
      </c>
      <c r="D31" s="39">
        <v>240</v>
      </c>
      <c r="E31" t="s">
        <v>31</v>
      </c>
      <c r="F31" t="str">
        <f>_xlfn.XLOOKUP(Table1[[#This Row],[Type]],Table2[Type],Table2[Income /
Expense])</f>
        <v>Expense</v>
      </c>
      <c r="G31" t="s">
        <v>32</v>
      </c>
    </row>
    <row r="32" spans="2:7">
      <c r="B32" t="s">
        <v>80</v>
      </c>
      <c r="C32" s="34" t="str">
        <f t="shared" si="0"/>
        <v>Feb</v>
      </c>
      <c r="D32" s="39">
        <v>420</v>
      </c>
      <c r="E32" t="s">
        <v>34</v>
      </c>
      <c r="F32" t="str">
        <f>_xlfn.XLOOKUP(Table1[[#This Row],[Type]],Table2[Type],Table2[Income /
Expense])</f>
        <v>Expense</v>
      </c>
      <c r="G32" t="s">
        <v>35</v>
      </c>
    </row>
    <row r="33" spans="2:7">
      <c r="B33" t="s">
        <v>81</v>
      </c>
      <c r="C33" s="34" t="str">
        <f t="shared" si="0"/>
        <v>Feb</v>
      </c>
      <c r="D33" s="39">
        <v>164</v>
      </c>
      <c r="E33" t="s">
        <v>37</v>
      </c>
      <c r="F33" t="str">
        <f>_xlfn.XLOOKUP(Table1[[#This Row],[Type]],Table2[Type],Table2[Income /
Expense])</f>
        <v>Expense</v>
      </c>
      <c r="G33" t="s">
        <v>38</v>
      </c>
    </row>
    <row r="34" spans="2:7">
      <c r="B34" t="s">
        <v>82</v>
      </c>
      <c r="C34" s="34" t="str">
        <f t="shared" si="0"/>
        <v>Feb</v>
      </c>
      <c r="D34" s="39">
        <v>63</v>
      </c>
      <c r="E34" t="s">
        <v>40</v>
      </c>
      <c r="F34" t="str">
        <f>_xlfn.XLOOKUP(Table1[[#This Row],[Type]],Table2[Type],Table2[Income /
Expense])</f>
        <v>Expense</v>
      </c>
      <c r="G34" t="s">
        <v>41</v>
      </c>
    </row>
    <row r="35" spans="2:7">
      <c r="B35" t="s">
        <v>83</v>
      </c>
      <c r="C35" s="34" t="str">
        <f t="shared" si="0"/>
        <v>Feb</v>
      </c>
      <c r="D35" s="39">
        <v>93</v>
      </c>
      <c r="E35" t="s">
        <v>43</v>
      </c>
      <c r="F35" t="str">
        <f>_xlfn.XLOOKUP(Table1[[#This Row],[Type]],Table2[Type],Table2[Income /
Expense])</f>
        <v>Expense</v>
      </c>
      <c r="G35" t="s">
        <v>44</v>
      </c>
    </row>
    <row r="36" spans="2:7">
      <c r="B36" t="s">
        <v>84</v>
      </c>
      <c r="C36" s="34" t="str">
        <f t="shared" si="0"/>
        <v>Feb</v>
      </c>
      <c r="D36" s="39">
        <v>114</v>
      </c>
      <c r="E36" t="s">
        <v>46</v>
      </c>
      <c r="F36" t="str">
        <f>_xlfn.XLOOKUP(Table1[[#This Row],[Type]],Table2[Type],Table2[Income /
Expense])</f>
        <v>Expense</v>
      </c>
      <c r="G36" t="s">
        <v>47</v>
      </c>
    </row>
    <row r="37" spans="2:7">
      <c r="B37" t="s">
        <v>85</v>
      </c>
      <c r="C37" s="34" t="str">
        <f t="shared" si="0"/>
        <v>Feb</v>
      </c>
      <c r="D37" s="39">
        <v>125</v>
      </c>
      <c r="E37" t="s">
        <v>49</v>
      </c>
      <c r="F37" t="str">
        <f>_xlfn.XLOOKUP(Table1[[#This Row],[Type]],Table2[Type],Table2[Income /
Expense])</f>
        <v>Expense</v>
      </c>
      <c r="G37" t="s">
        <v>50</v>
      </c>
    </row>
    <row r="38" spans="2:7">
      <c r="B38" t="s">
        <v>86</v>
      </c>
      <c r="C38" s="34" t="str">
        <f t="shared" si="0"/>
        <v>Feb</v>
      </c>
      <c r="D38" s="39">
        <v>25</v>
      </c>
      <c r="E38" t="s">
        <v>52</v>
      </c>
      <c r="F38" t="str">
        <f>_xlfn.XLOOKUP(Table1[[#This Row],[Type]],Table2[Type],Table2[Income /
Expense])</f>
        <v>Expense</v>
      </c>
      <c r="G38" t="s">
        <v>53</v>
      </c>
    </row>
    <row r="39" spans="2:7">
      <c r="B39" t="s">
        <v>87</v>
      </c>
      <c r="C39" s="34" t="str">
        <f t="shared" si="0"/>
        <v>Feb</v>
      </c>
      <c r="D39" s="39">
        <v>48</v>
      </c>
      <c r="E39" t="s">
        <v>55</v>
      </c>
      <c r="F39" t="str">
        <f>_xlfn.XLOOKUP(Table1[[#This Row],[Type]],Table2[Type],Table2[Income /
Expense])</f>
        <v>Expense</v>
      </c>
      <c r="G39" t="s">
        <v>56</v>
      </c>
    </row>
    <row r="40" spans="2:7">
      <c r="B40" t="s">
        <v>88</v>
      </c>
      <c r="C40" s="34" t="str">
        <f t="shared" si="0"/>
        <v>Feb</v>
      </c>
      <c r="D40" s="39">
        <v>371</v>
      </c>
      <c r="E40" t="s">
        <v>58</v>
      </c>
      <c r="F40" t="str">
        <f>_xlfn.XLOOKUP(Table1[[#This Row],[Type]],Table2[Type],Table2[Income /
Expense])</f>
        <v>Expense</v>
      </c>
      <c r="G40" t="s">
        <v>59</v>
      </c>
    </row>
    <row r="41" spans="2:7">
      <c r="B41" t="s">
        <v>89</v>
      </c>
      <c r="C41" s="34" t="str">
        <f t="shared" si="0"/>
        <v>Feb</v>
      </c>
      <c r="D41" s="39">
        <v>292</v>
      </c>
      <c r="E41" t="s">
        <v>61</v>
      </c>
      <c r="F41" t="str">
        <f>_xlfn.XLOOKUP(Table1[[#This Row],[Type]],Table2[Type],Table2[Income /
Expense])</f>
        <v>Expense</v>
      </c>
      <c r="G41" t="s">
        <v>62</v>
      </c>
    </row>
    <row r="42" spans="2:7">
      <c r="B42" t="s">
        <v>90</v>
      </c>
      <c r="C42" s="34" t="str">
        <f t="shared" si="0"/>
        <v>Feb</v>
      </c>
      <c r="D42" s="39">
        <v>154</v>
      </c>
      <c r="E42" t="s">
        <v>64</v>
      </c>
      <c r="F42" t="str">
        <f>_xlfn.XLOOKUP(Table1[[#This Row],[Type]],Table2[Type],Table2[Income /
Expense])</f>
        <v>Expense</v>
      </c>
      <c r="G42" t="s">
        <v>65</v>
      </c>
    </row>
    <row r="43" spans="2:7">
      <c r="B43" t="s">
        <v>91</v>
      </c>
      <c r="C43" s="34" t="str">
        <f t="shared" si="0"/>
        <v>Feb</v>
      </c>
      <c r="D43" s="39">
        <v>240</v>
      </c>
      <c r="E43" t="s">
        <v>67</v>
      </c>
      <c r="F43" t="str">
        <f>_xlfn.XLOOKUP(Table1[[#This Row],[Type]],Table2[Type],Table2[Income /
Expense])</f>
        <v>Expense</v>
      </c>
      <c r="G43" t="s">
        <v>68</v>
      </c>
    </row>
    <row r="44" spans="2:7">
      <c r="B44" t="s">
        <v>92</v>
      </c>
      <c r="C44" s="34" t="str">
        <f t="shared" si="0"/>
        <v>Feb</v>
      </c>
      <c r="D44" s="39">
        <v>167</v>
      </c>
      <c r="E44" t="s">
        <v>70</v>
      </c>
      <c r="F44" t="str">
        <f>_xlfn.XLOOKUP(Table1[[#This Row],[Type]],Table2[Type],Table2[Income /
Expense])</f>
        <v>Expense</v>
      </c>
      <c r="G44" t="s">
        <v>71</v>
      </c>
    </row>
    <row r="45" spans="2:7">
      <c r="B45" t="s">
        <v>93</v>
      </c>
      <c r="C45" s="34" t="str">
        <f t="shared" si="0"/>
        <v>Mar</v>
      </c>
      <c r="D45" s="39">
        <v>3236</v>
      </c>
      <c r="E45" t="s">
        <v>8</v>
      </c>
      <c r="F45" t="str">
        <f>_xlfn.XLOOKUP(Table1[[#This Row],[Type]],Table2[Type],Table2[Income /
Expense])</f>
        <v>Income</v>
      </c>
      <c r="G45" t="s">
        <v>9</v>
      </c>
    </row>
    <row r="46" spans="2:7">
      <c r="B46" t="s">
        <v>94</v>
      </c>
      <c r="C46" s="34" t="str">
        <f t="shared" si="0"/>
        <v>Mar</v>
      </c>
      <c r="D46" s="39">
        <v>541</v>
      </c>
      <c r="E46" t="s">
        <v>12</v>
      </c>
      <c r="F46" t="str">
        <f>_xlfn.XLOOKUP(Table1[[#This Row],[Type]],Table2[Type],Table2[Income /
Expense])</f>
        <v>Income</v>
      </c>
      <c r="G46" t="s">
        <v>13</v>
      </c>
    </row>
    <row r="47" spans="2:7">
      <c r="B47" t="s">
        <v>95</v>
      </c>
      <c r="C47" s="34" t="str">
        <f t="shared" si="0"/>
        <v>Mar</v>
      </c>
      <c r="D47" s="39">
        <v>153</v>
      </c>
      <c r="E47" t="s">
        <v>15</v>
      </c>
      <c r="F47" t="str">
        <f>_xlfn.XLOOKUP(Table1[[#This Row],[Type]],Table2[Type],Table2[Income /
Expense])</f>
        <v>Income</v>
      </c>
      <c r="G47" t="s">
        <v>16</v>
      </c>
    </row>
    <row r="48" spans="2:7">
      <c r="B48" t="s">
        <v>96</v>
      </c>
      <c r="C48" s="34" t="str">
        <f t="shared" si="0"/>
        <v>Mar</v>
      </c>
      <c r="D48" s="39">
        <v>157</v>
      </c>
      <c r="E48" t="s">
        <v>18</v>
      </c>
      <c r="F48" t="str">
        <f>_xlfn.XLOOKUP(Table1[[#This Row],[Type]],Table2[Type],Table2[Income /
Expense])</f>
        <v>Income</v>
      </c>
      <c r="G48" t="s">
        <v>19</v>
      </c>
    </row>
    <row r="49" spans="2:7">
      <c r="B49" t="s">
        <v>97</v>
      </c>
      <c r="C49" s="34" t="str">
        <f t="shared" si="0"/>
        <v>Mar</v>
      </c>
      <c r="D49" s="39">
        <v>1100</v>
      </c>
      <c r="E49" t="s">
        <v>21</v>
      </c>
      <c r="F49" t="str">
        <f>_xlfn.XLOOKUP(Table1[[#This Row],[Type]],Table2[Type],Table2[Income /
Expense])</f>
        <v>Expense</v>
      </c>
      <c r="G49" t="s">
        <v>22</v>
      </c>
    </row>
    <row r="50" spans="2:7">
      <c r="B50" t="s">
        <v>98</v>
      </c>
      <c r="C50" s="34" t="str">
        <f t="shared" si="0"/>
        <v>Mar</v>
      </c>
      <c r="D50" s="39">
        <v>191</v>
      </c>
      <c r="E50" t="s">
        <v>25</v>
      </c>
      <c r="F50" t="str">
        <f>_xlfn.XLOOKUP(Table1[[#This Row],[Type]],Table2[Type],Table2[Income /
Expense])</f>
        <v>Expense</v>
      </c>
      <c r="G50" t="s">
        <v>26</v>
      </c>
    </row>
    <row r="51" spans="2:7">
      <c r="B51" t="s">
        <v>99</v>
      </c>
      <c r="C51" s="34" t="str">
        <f t="shared" si="0"/>
        <v>Mar</v>
      </c>
      <c r="D51" s="39">
        <v>835</v>
      </c>
      <c r="E51" t="s">
        <v>28</v>
      </c>
      <c r="F51" t="str">
        <f>_xlfn.XLOOKUP(Table1[[#This Row],[Type]],Table2[Type],Table2[Income /
Expense])</f>
        <v>Expense</v>
      </c>
      <c r="G51" t="s">
        <v>29</v>
      </c>
    </row>
    <row r="52" spans="2:7">
      <c r="B52" t="s">
        <v>100</v>
      </c>
      <c r="C52" s="34" t="str">
        <f t="shared" si="0"/>
        <v>Mar</v>
      </c>
      <c r="D52" s="39">
        <v>126</v>
      </c>
      <c r="E52" t="s">
        <v>31</v>
      </c>
      <c r="F52" t="str">
        <f>_xlfn.XLOOKUP(Table1[[#This Row],[Type]],Table2[Type],Table2[Income /
Expense])</f>
        <v>Expense</v>
      </c>
      <c r="G52" t="s">
        <v>32</v>
      </c>
    </row>
    <row r="53" spans="2:7">
      <c r="B53" t="s">
        <v>101</v>
      </c>
      <c r="C53" s="34" t="str">
        <f t="shared" si="0"/>
        <v>Mar</v>
      </c>
      <c r="D53" s="39">
        <v>420</v>
      </c>
      <c r="E53" t="s">
        <v>34</v>
      </c>
      <c r="F53" t="str">
        <f>_xlfn.XLOOKUP(Table1[[#This Row],[Type]],Table2[Type],Table2[Income /
Expense])</f>
        <v>Expense</v>
      </c>
      <c r="G53" t="s">
        <v>35</v>
      </c>
    </row>
    <row r="54" spans="2:7">
      <c r="B54" t="s">
        <v>102</v>
      </c>
      <c r="C54" s="34" t="str">
        <f t="shared" si="0"/>
        <v>Mar</v>
      </c>
      <c r="D54" s="39">
        <v>103</v>
      </c>
      <c r="E54" t="s">
        <v>37</v>
      </c>
      <c r="F54" t="str">
        <f>_xlfn.XLOOKUP(Table1[[#This Row],[Type]],Table2[Type],Table2[Income /
Expense])</f>
        <v>Expense</v>
      </c>
      <c r="G54" t="s">
        <v>38</v>
      </c>
    </row>
    <row r="55" spans="2:7">
      <c r="B55" t="s">
        <v>103</v>
      </c>
      <c r="C55" s="34" t="str">
        <f t="shared" si="0"/>
        <v>Mar</v>
      </c>
      <c r="D55" s="39">
        <v>97</v>
      </c>
      <c r="E55" t="s">
        <v>40</v>
      </c>
      <c r="F55" t="str">
        <f>_xlfn.XLOOKUP(Table1[[#This Row],[Type]],Table2[Type],Table2[Income /
Expense])</f>
        <v>Expense</v>
      </c>
      <c r="G55" t="s">
        <v>41</v>
      </c>
    </row>
    <row r="56" spans="2:7">
      <c r="B56" t="s">
        <v>104</v>
      </c>
      <c r="C56" s="34" t="str">
        <f t="shared" si="0"/>
        <v>Mar</v>
      </c>
      <c r="D56" s="39">
        <v>93</v>
      </c>
      <c r="E56" t="s">
        <v>43</v>
      </c>
      <c r="F56" t="str">
        <f>_xlfn.XLOOKUP(Table1[[#This Row],[Type]],Table2[Type],Table2[Income /
Expense])</f>
        <v>Expense</v>
      </c>
      <c r="G56" t="s">
        <v>44</v>
      </c>
    </row>
    <row r="57" spans="2:7">
      <c r="B57" t="s">
        <v>105</v>
      </c>
      <c r="C57" s="34" t="str">
        <f t="shared" si="0"/>
        <v>Mar</v>
      </c>
      <c r="D57" s="39">
        <v>121</v>
      </c>
      <c r="E57" t="s">
        <v>46</v>
      </c>
      <c r="F57" t="str">
        <f>_xlfn.XLOOKUP(Table1[[#This Row],[Type]],Table2[Type],Table2[Income /
Expense])</f>
        <v>Expense</v>
      </c>
      <c r="G57" t="s">
        <v>47</v>
      </c>
    </row>
    <row r="58" spans="2:7">
      <c r="B58" t="s">
        <v>106</v>
      </c>
      <c r="C58" s="34" t="str">
        <f t="shared" si="0"/>
        <v>Mar</v>
      </c>
      <c r="D58" s="39">
        <v>112</v>
      </c>
      <c r="E58" t="s">
        <v>49</v>
      </c>
      <c r="F58" t="str">
        <f>_xlfn.XLOOKUP(Table1[[#This Row],[Type]],Table2[Type],Table2[Income /
Expense])</f>
        <v>Expense</v>
      </c>
      <c r="G58" t="s">
        <v>50</v>
      </c>
    </row>
    <row r="59" spans="2:7">
      <c r="B59" t="s">
        <v>107</v>
      </c>
      <c r="C59" s="34" t="str">
        <f t="shared" si="0"/>
        <v>Mar</v>
      </c>
      <c r="D59" s="39">
        <v>190</v>
      </c>
      <c r="E59" t="s">
        <v>52</v>
      </c>
      <c r="F59" t="str">
        <f>_xlfn.XLOOKUP(Table1[[#This Row],[Type]],Table2[Type],Table2[Income /
Expense])</f>
        <v>Expense</v>
      </c>
      <c r="G59" t="s">
        <v>53</v>
      </c>
    </row>
    <row r="60" spans="2:7">
      <c r="B60" t="s">
        <v>108</v>
      </c>
      <c r="C60" s="34" t="str">
        <f t="shared" si="0"/>
        <v>Mar</v>
      </c>
      <c r="D60" s="39">
        <v>32</v>
      </c>
      <c r="E60" t="s">
        <v>55</v>
      </c>
      <c r="F60" t="str">
        <f>_xlfn.XLOOKUP(Table1[[#This Row],[Type]],Table2[Type],Table2[Income /
Expense])</f>
        <v>Expense</v>
      </c>
      <c r="G60" t="s">
        <v>56</v>
      </c>
    </row>
    <row r="61" spans="2:7">
      <c r="B61" t="s">
        <v>109</v>
      </c>
      <c r="C61" s="34" t="str">
        <f t="shared" si="0"/>
        <v>Mar</v>
      </c>
      <c r="D61" s="39">
        <v>500</v>
      </c>
      <c r="E61" t="s">
        <v>58</v>
      </c>
      <c r="F61" t="str">
        <f>_xlfn.XLOOKUP(Table1[[#This Row],[Type]],Table2[Type],Table2[Income /
Expense])</f>
        <v>Expense</v>
      </c>
      <c r="G61" t="s">
        <v>59</v>
      </c>
    </row>
    <row r="62" spans="2:7">
      <c r="B62" t="s">
        <v>110</v>
      </c>
      <c r="C62" s="34" t="str">
        <f t="shared" si="0"/>
        <v>Mar</v>
      </c>
      <c r="D62" s="39">
        <v>332</v>
      </c>
      <c r="E62" t="s">
        <v>61</v>
      </c>
      <c r="F62" t="str">
        <f>_xlfn.XLOOKUP(Table1[[#This Row],[Type]],Table2[Type],Table2[Income /
Expense])</f>
        <v>Expense</v>
      </c>
      <c r="G62" t="s">
        <v>62</v>
      </c>
    </row>
    <row r="63" spans="2:7">
      <c r="B63" t="s">
        <v>111</v>
      </c>
      <c r="C63" s="34" t="str">
        <f t="shared" si="0"/>
        <v>Mar</v>
      </c>
      <c r="D63" s="39">
        <v>136</v>
      </c>
      <c r="E63" t="s">
        <v>64</v>
      </c>
      <c r="F63" t="str">
        <f>_xlfn.XLOOKUP(Table1[[#This Row],[Type]],Table2[Type],Table2[Income /
Expense])</f>
        <v>Expense</v>
      </c>
      <c r="G63" t="s">
        <v>65</v>
      </c>
    </row>
    <row r="64" spans="2:7">
      <c r="B64" t="s">
        <v>112</v>
      </c>
      <c r="C64" s="34" t="str">
        <f t="shared" si="0"/>
        <v>Mar</v>
      </c>
      <c r="D64" s="39">
        <v>459</v>
      </c>
      <c r="E64" t="s">
        <v>67</v>
      </c>
      <c r="F64" t="str">
        <f>_xlfn.XLOOKUP(Table1[[#This Row],[Type]],Table2[Type],Table2[Income /
Expense])</f>
        <v>Expense</v>
      </c>
      <c r="G64" t="s">
        <v>68</v>
      </c>
    </row>
    <row r="65" spans="2:7">
      <c r="B65" t="s">
        <v>113</v>
      </c>
      <c r="C65" s="34" t="str">
        <f t="shared" si="0"/>
        <v>Mar</v>
      </c>
      <c r="D65" s="39">
        <v>75</v>
      </c>
      <c r="E65" t="s">
        <v>70</v>
      </c>
      <c r="F65" t="str">
        <f>_xlfn.XLOOKUP(Table1[[#This Row],[Type]],Table2[Type],Table2[Income /
Expense])</f>
        <v>Expense</v>
      </c>
      <c r="G65" t="s">
        <v>71</v>
      </c>
    </row>
    <row r="66" spans="2:7">
      <c r="B66" t="s">
        <v>114</v>
      </c>
      <c r="C66" s="34" t="str">
        <f t="shared" si="0"/>
        <v>Apr</v>
      </c>
      <c r="D66" s="39">
        <v>3358</v>
      </c>
      <c r="E66" t="s">
        <v>8</v>
      </c>
      <c r="F66" t="str">
        <f>_xlfn.XLOOKUP(Table1[[#This Row],[Type]],Table2[Type],Table2[Income /
Expense])</f>
        <v>Income</v>
      </c>
      <c r="G66" t="s">
        <v>9</v>
      </c>
    </row>
    <row r="67" spans="2:7">
      <c r="B67" t="s">
        <v>115</v>
      </c>
      <c r="C67" s="34" t="str">
        <f t="shared" si="0"/>
        <v>Apr</v>
      </c>
      <c r="D67" s="39">
        <v>721</v>
      </c>
      <c r="E67" t="s">
        <v>12</v>
      </c>
      <c r="F67" t="str">
        <f>_xlfn.XLOOKUP(Table1[[#This Row],[Type]],Table2[Type],Table2[Income /
Expense])</f>
        <v>Income</v>
      </c>
      <c r="G67" t="s">
        <v>13</v>
      </c>
    </row>
    <row r="68" spans="2:7">
      <c r="B68" t="s">
        <v>116</v>
      </c>
      <c r="C68" s="34" t="str">
        <f t="shared" ref="C68:C131" si="1">TEXT(B68,"mmm")</f>
        <v>Apr</v>
      </c>
      <c r="D68" s="39">
        <v>143</v>
      </c>
      <c r="E68" t="s">
        <v>15</v>
      </c>
      <c r="F68" t="str">
        <f>_xlfn.XLOOKUP(Table1[[#This Row],[Type]],Table2[Type],Table2[Income /
Expense])</f>
        <v>Income</v>
      </c>
      <c r="G68" t="s">
        <v>16</v>
      </c>
    </row>
    <row r="69" spans="2:7">
      <c r="B69" t="s">
        <v>117</v>
      </c>
      <c r="C69" s="34" t="str">
        <f t="shared" si="1"/>
        <v>Apr</v>
      </c>
      <c r="D69" s="39">
        <v>272</v>
      </c>
      <c r="E69" t="s">
        <v>18</v>
      </c>
      <c r="F69" t="str">
        <f>_xlfn.XLOOKUP(Table1[[#This Row],[Type]],Table2[Type],Table2[Income /
Expense])</f>
        <v>Income</v>
      </c>
      <c r="G69" t="s">
        <v>19</v>
      </c>
    </row>
    <row r="70" spans="2:7">
      <c r="B70" t="s">
        <v>118</v>
      </c>
      <c r="C70" s="34" t="str">
        <f t="shared" si="1"/>
        <v>Apr</v>
      </c>
      <c r="D70" s="39">
        <v>1100</v>
      </c>
      <c r="E70" t="s">
        <v>21</v>
      </c>
      <c r="F70" t="str">
        <f>_xlfn.XLOOKUP(Table1[[#This Row],[Type]],Table2[Type],Table2[Income /
Expense])</f>
        <v>Expense</v>
      </c>
      <c r="G70" t="s">
        <v>22</v>
      </c>
    </row>
    <row r="71" spans="2:7">
      <c r="B71" t="s">
        <v>119</v>
      </c>
      <c r="C71" s="34" t="str">
        <f t="shared" si="1"/>
        <v>Apr</v>
      </c>
      <c r="D71" s="39">
        <v>174</v>
      </c>
      <c r="E71" t="s">
        <v>25</v>
      </c>
      <c r="F71" t="str">
        <f>_xlfn.XLOOKUP(Table1[[#This Row],[Type]],Table2[Type],Table2[Income /
Expense])</f>
        <v>Expense</v>
      </c>
      <c r="G71" t="s">
        <v>26</v>
      </c>
    </row>
    <row r="72" spans="2:7">
      <c r="B72" t="s">
        <v>120</v>
      </c>
      <c r="C72" s="34" t="str">
        <f t="shared" si="1"/>
        <v>Apr</v>
      </c>
      <c r="D72" s="39">
        <v>795</v>
      </c>
      <c r="E72" t="s">
        <v>28</v>
      </c>
      <c r="F72" t="str">
        <f>_xlfn.XLOOKUP(Table1[[#This Row],[Type]],Table2[Type],Table2[Income /
Expense])</f>
        <v>Expense</v>
      </c>
      <c r="G72" t="s">
        <v>29</v>
      </c>
    </row>
    <row r="73" spans="2:7">
      <c r="B73" t="s">
        <v>121</v>
      </c>
      <c r="C73" s="34" t="str">
        <f t="shared" si="1"/>
        <v>Apr</v>
      </c>
      <c r="D73" s="39">
        <v>160</v>
      </c>
      <c r="E73" t="s">
        <v>31</v>
      </c>
      <c r="F73" t="str">
        <f>_xlfn.XLOOKUP(Table1[[#This Row],[Type]],Table2[Type],Table2[Income /
Expense])</f>
        <v>Expense</v>
      </c>
      <c r="G73" t="s">
        <v>32</v>
      </c>
    </row>
    <row r="74" spans="2:7">
      <c r="B74" t="s">
        <v>122</v>
      </c>
      <c r="C74" s="34" t="str">
        <f t="shared" si="1"/>
        <v>Apr</v>
      </c>
      <c r="D74" s="39">
        <v>420</v>
      </c>
      <c r="E74" t="s">
        <v>34</v>
      </c>
      <c r="F74" t="str">
        <f>_xlfn.XLOOKUP(Table1[[#This Row],[Type]],Table2[Type],Table2[Income /
Expense])</f>
        <v>Expense</v>
      </c>
      <c r="G74" t="s">
        <v>35</v>
      </c>
    </row>
    <row r="75" spans="2:7">
      <c r="B75" t="s">
        <v>123</v>
      </c>
      <c r="C75" s="34" t="str">
        <f t="shared" si="1"/>
        <v>Apr</v>
      </c>
      <c r="D75" s="39">
        <v>149</v>
      </c>
      <c r="E75" t="s">
        <v>37</v>
      </c>
      <c r="F75" t="str">
        <f>_xlfn.XLOOKUP(Table1[[#This Row],[Type]],Table2[Type],Table2[Income /
Expense])</f>
        <v>Expense</v>
      </c>
      <c r="G75" t="s">
        <v>38</v>
      </c>
    </row>
    <row r="76" spans="2:7">
      <c r="B76" t="s">
        <v>124</v>
      </c>
      <c r="C76" s="34" t="str">
        <f t="shared" si="1"/>
        <v>Apr</v>
      </c>
      <c r="D76" s="39">
        <v>97</v>
      </c>
      <c r="E76" t="s">
        <v>40</v>
      </c>
      <c r="F76" t="str">
        <f>_xlfn.XLOOKUP(Table1[[#This Row],[Type]],Table2[Type],Table2[Income /
Expense])</f>
        <v>Expense</v>
      </c>
      <c r="G76" t="s">
        <v>41</v>
      </c>
    </row>
    <row r="77" spans="2:7">
      <c r="B77" t="s">
        <v>125</v>
      </c>
      <c r="C77" s="34" t="str">
        <f t="shared" si="1"/>
        <v>Apr</v>
      </c>
      <c r="D77" s="39">
        <v>78</v>
      </c>
      <c r="E77" t="s">
        <v>43</v>
      </c>
      <c r="F77" t="str">
        <f>_xlfn.XLOOKUP(Table1[[#This Row],[Type]],Table2[Type],Table2[Income /
Expense])</f>
        <v>Expense</v>
      </c>
      <c r="G77" t="s">
        <v>44</v>
      </c>
    </row>
    <row r="78" spans="2:7">
      <c r="B78" t="s">
        <v>126</v>
      </c>
      <c r="C78" s="34" t="str">
        <f t="shared" si="1"/>
        <v>Apr</v>
      </c>
      <c r="D78" s="39">
        <v>86</v>
      </c>
      <c r="E78" t="s">
        <v>46</v>
      </c>
      <c r="F78" t="str">
        <f>_xlfn.XLOOKUP(Table1[[#This Row],[Type]],Table2[Type],Table2[Income /
Expense])</f>
        <v>Expense</v>
      </c>
      <c r="G78" t="s">
        <v>47</v>
      </c>
    </row>
    <row r="79" spans="2:7">
      <c r="B79" t="s">
        <v>127</v>
      </c>
      <c r="C79" s="34" t="str">
        <f t="shared" si="1"/>
        <v>Apr</v>
      </c>
      <c r="D79" s="39">
        <v>119</v>
      </c>
      <c r="E79" t="s">
        <v>49</v>
      </c>
      <c r="F79" t="str">
        <f>_xlfn.XLOOKUP(Table1[[#This Row],[Type]],Table2[Type],Table2[Income /
Expense])</f>
        <v>Expense</v>
      </c>
      <c r="G79" t="s">
        <v>50</v>
      </c>
    </row>
    <row r="80" spans="2:7">
      <c r="B80" t="s">
        <v>128</v>
      </c>
      <c r="C80" s="34" t="str">
        <f t="shared" si="1"/>
        <v>Apr</v>
      </c>
      <c r="D80" s="39">
        <v>127</v>
      </c>
      <c r="E80" t="s">
        <v>52</v>
      </c>
      <c r="F80" t="str">
        <f>_xlfn.XLOOKUP(Table1[[#This Row],[Type]],Table2[Type],Table2[Income /
Expense])</f>
        <v>Expense</v>
      </c>
      <c r="G80" t="s">
        <v>53</v>
      </c>
    </row>
    <row r="81" spans="2:7">
      <c r="B81" t="s">
        <v>129</v>
      </c>
      <c r="C81" s="34" t="str">
        <f t="shared" si="1"/>
        <v>Apr</v>
      </c>
      <c r="D81" s="39">
        <v>43</v>
      </c>
      <c r="E81" t="s">
        <v>55</v>
      </c>
      <c r="F81" t="str">
        <f>_xlfn.XLOOKUP(Table1[[#This Row],[Type]],Table2[Type],Table2[Income /
Expense])</f>
        <v>Expense</v>
      </c>
      <c r="G81" t="s">
        <v>56</v>
      </c>
    </row>
    <row r="82" spans="2:7">
      <c r="B82" t="s">
        <v>130</v>
      </c>
      <c r="C82" s="34" t="str">
        <f t="shared" si="1"/>
        <v>Apr</v>
      </c>
      <c r="D82" s="39">
        <v>538</v>
      </c>
      <c r="E82" t="s">
        <v>58</v>
      </c>
      <c r="F82" t="str">
        <f>_xlfn.XLOOKUP(Table1[[#This Row],[Type]],Table2[Type],Table2[Income /
Expense])</f>
        <v>Expense</v>
      </c>
      <c r="G82" t="s">
        <v>59</v>
      </c>
    </row>
    <row r="83" spans="2:7">
      <c r="B83" t="s">
        <v>131</v>
      </c>
      <c r="C83" s="34" t="str">
        <f t="shared" si="1"/>
        <v>Apr</v>
      </c>
      <c r="D83" s="39">
        <v>212</v>
      </c>
      <c r="E83" t="s">
        <v>61</v>
      </c>
      <c r="F83" t="str">
        <f>_xlfn.XLOOKUP(Table1[[#This Row],[Type]],Table2[Type],Table2[Income /
Expense])</f>
        <v>Expense</v>
      </c>
      <c r="G83" t="s">
        <v>62</v>
      </c>
    </row>
    <row r="84" spans="2:7">
      <c r="B84" t="s">
        <v>132</v>
      </c>
      <c r="C84" s="34" t="str">
        <f t="shared" si="1"/>
        <v>Apr</v>
      </c>
      <c r="D84" s="39">
        <v>140</v>
      </c>
      <c r="E84" t="s">
        <v>64</v>
      </c>
      <c r="F84" t="str">
        <f>_xlfn.XLOOKUP(Table1[[#This Row],[Type]],Table2[Type],Table2[Income /
Expense])</f>
        <v>Expense</v>
      </c>
      <c r="G84" t="s">
        <v>65</v>
      </c>
    </row>
    <row r="85" spans="2:7">
      <c r="B85" t="s">
        <v>133</v>
      </c>
      <c r="C85" s="34" t="str">
        <f t="shared" si="1"/>
        <v>Apr</v>
      </c>
      <c r="D85" s="39">
        <v>648</v>
      </c>
      <c r="E85" t="s">
        <v>67</v>
      </c>
      <c r="F85" t="str">
        <f>_xlfn.XLOOKUP(Table1[[#This Row],[Type]],Table2[Type],Table2[Income /
Expense])</f>
        <v>Expense</v>
      </c>
      <c r="G85" t="s">
        <v>68</v>
      </c>
    </row>
    <row r="86" spans="2:7">
      <c r="B86" t="s">
        <v>134</v>
      </c>
      <c r="C86" s="34" t="str">
        <f t="shared" si="1"/>
        <v>Apr</v>
      </c>
      <c r="D86" s="39">
        <v>136</v>
      </c>
      <c r="E86" t="s">
        <v>70</v>
      </c>
      <c r="F86" t="str">
        <f>_xlfn.XLOOKUP(Table1[[#This Row],[Type]],Table2[Type],Table2[Income /
Expense])</f>
        <v>Expense</v>
      </c>
      <c r="G86" t="s">
        <v>71</v>
      </c>
    </row>
    <row r="87" spans="2:7">
      <c r="B87" t="s">
        <v>135</v>
      </c>
      <c r="C87" s="34" t="str">
        <f t="shared" si="1"/>
        <v>May</v>
      </c>
      <c r="D87" s="39">
        <v>3334</v>
      </c>
      <c r="E87" t="s">
        <v>8</v>
      </c>
      <c r="F87" t="str">
        <f>_xlfn.XLOOKUP(Table1[[#This Row],[Type]],Table2[Type],Table2[Income /
Expense])</f>
        <v>Income</v>
      </c>
      <c r="G87" t="s">
        <v>9</v>
      </c>
    </row>
    <row r="88" spans="2:7">
      <c r="B88" t="s">
        <v>136</v>
      </c>
      <c r="C88" s="34" t="str">
        <f t="shared" si="1"/>
        <v>May</v>
      </c>
      <c r="D88" s="39">
        <v>1313</v>
      </c>
      <c r="E88" t="s">
        <v>12</v>
      </c>
      <c r="F88" t="str">
        <f>_xlfn.XLOOKUP(Table1[[#This Row],[Type]],Table2[Type],Table2[Income /
Expense])</f>
        <v>Income</v>
      </c>
      <c r="G88" t="s">
        <v>13</v>
      </c>
    </row>
    <row r="89" spans="2:7">
      <c r="B89" t="s">
        <v>137</v>
      </c>
      <c r="C89" s="34" t="str">
        <f t="shared" si="1"/>
        <v>May</v>
      </c>
      <c r="D89" s="39">
        <v>192</v>
      </c>
      <c r="E89" t="s">
        <v>15</v>
      </c>
      <c r="F89" t="str">
        <f>_xlfn.XLOOKUP(Table1[[#This Row],[Type]],Table2[Type],Table2[Income /
Expense])</f>
        <v>Income</v>
      </c>
      <c r="G89" t="s">
        <v>16</v>
      </c>
    </row>
    <row r="90" spans="2:7">
      <c r="B90" t="s">
        <v>138</v>
      </c>
      <c r="C90" s="34" t="str">
        <f t="shared" si="1"/>
        <v>May</v>
      </c>
      <c r="D90" s="39">
        <v>175</v>
      </c>
      <c r="E90" t="s">
        <v>18</v>
      </c>
      <c r="F90" t="str">
        <f>_xlfn.XLOOKUP(Table1[[#This Row],[Type]],Table2[Type],Table2[Income /
Expense])</f>
        <v>Income</v>
      </c>
      <c r="G90" t="s">
        <v>19</v>
      </c>
    </row>
    <row r="91" spans="2:7">
      <c r="B91" t="s">
        <v>139</v>
      </c>
      <c r="C91" s="34" t="str">
        <f t="shared" si="1"/>
        <v>May</v>
      </c>
      <c r="D91" s="39">
        <v>1100</v>
      </c>
      <c r="E91" t="s">
        <v>21</v>
      </c>
      <c r="F91" t="str">
        <f>_xlfn.XLOOKUP(Table1[[#This Row],[Type]],Table2[Type],Table2[Income /
Expense])</f>
        <v>Expense</v>
      </c>
      <c r="G91" t="s">
        <v>22</v>
      </c>
    </row>
    <row r="92" spans="2:7">
      <c r="B92" t="s">
        <v>140</v>
      </c>
      <c r="C92" s="34" t="str">
        <f t="shared" si="1"/>
        <v>May</v>
      </c>
      <c r="D92" s="39">
        <v>177</v>
      </c>
      <c r="E92" t="s">
        <v>25</v>
      </c>
      <c r="F92" t="str">
        <f>_xlfn.XLOOKUP(Table1[[#This Row],[Type]],Table2[Type],Table2[Income /
Expense])</f>
        <v>Expense</v>
      </c>
      <c r="G92" t="s">
        <v>26</v>
      </c>
    </row>
    <row r="93" spans="2:7">
      <c r="B93" t="s">
        <v>141</v>
      </c>
      <c r="C93" s="34" t="str">
        <f t="shared" si="1"/>
        <v>May</v>
      </c>
      <c r="D93" s="39">
        <v>294</v>
      </c>
      <c r="E93" t="s">
        <v>28</v>
      </c>
      <c r="F93" t="str">
        <f>_xlfn.XLOOKUP(Table1[[#This Row],[Type]],Table2[Type],Table2[Income /
Expense])</f>
        <v>Expense</v>
      </c>
      <c r="G93" t="s">
        <v>29</v>
      </c>
    </row>
    <row r="94" spans="2:7">
      <c r="B94" t="s">
        <v>142</v>
      </c>
      <c r="C94" s="34" t="str">
        <f t="shared" si="1"/>
        <v>May</v>
      </c>
      <c r="D94" s="39">
        <v>235</v>
      </c>
      <c r="E94" t="s">
        <v>31</v>
      </c>
      <c r="F94" t="str">
        <f>_xlfn.XLOOKUP(Table1[[#This Row],[Type]],Table2[Type],Table2[Income /
Expense])</f>
        <v>Expense</v>
      </c>
      <c r="G94" t="s">
        <v>32</v>
      </c>
    </row>
    <row r="95" spans="2:7">
      <c r="B95" t="s">
        <v>143</v>
      </c>
      <c r="C95" s="34" t="str">
        <f t="shared" si="1"/>
        <v>May</v>
      </c>
      <c r="D95" s="39">
        <v>420</v>
      </c>
      <c r="E95" t="s">
        <v>34</v>
      </c>
      <c r="F95" t="str">
        <f>_xlfn.XLOOKUP(Table1[[#This Row],[Type]],Table2[Type],Table2[Income /
Expense])</f>
        <v>Expense</v>
      </c>
      <c r="G95" t="s">
        <v>35</v>
      </c>
    </row>
    <row r="96" spans="2:7">
      <c r="B96" t="s">
        <v>144</v>
      </c>
      <c r="C96" s="34" t="str">
        <f t="shared" si="1"/>
        <v>May</v>
      </c>
      <c r="D96" s="39">
        <v>99</v>
      </c>
      <c r="E96" t="s">
        <v>37</v>
      </c>
      <c r="F96" t="str">
        <f>_xlfn.XLOOKUP(Table1[[#This Row],[Type]],Table2[Type],Table2[Income /
Expense])</f>
        <v>Expense</v>
      </c>
      <c r="G96" t="s">
        <v>38</v>
      </c>
    </row>
    <row r="97" spans="2:7">
      <c r="B97" t="s">
        <v>145</v>
      </c>
      <c r="C97" s="34" t="str">
        <f t="shared" si="1"/>
        <v>May</v>
      </c>
      <c r="D97" s="39">
        <v>67</v>
      </c>
      <c r="E97" t="s">
        <v>40</v>
      </c>
      <c r="F97" t="str">
        <f>_xlfn.XLOOKUP(Table1[[#This Row],[Type]],Table2[Type],Table2[Income /
Expense])</f>
        <v>Expense</v>
      </c>
      <c r="G97" t="s">
        <v>41</v>
      </c>
    </row>
    <row r="98" spans="2:7">
      <c r="B98" t="s">
        <v>146</v>
      </c>
      <c r="C98" s="34" t="str">
        <f t="shared" si="1"/>
        <v>May</v>
      </c>
      <c r="D98" s="39">
        <v>85</v>
      </c>
      <c r="E98" t="s">
        <v>43</v>
      </c>
      <c r="F98" t="str">
        <f>_xlfn.XLOOKUP(Table1[[#This Row],[Type]],Table2[Type],Table2[Income /
Expense])</f>
        <v>Expense</v>
      </c>
      <c r="G98" t="s">
        <v>44</v>
      </c>
    </row>
    <row r="99" spans="2:7">
      <c r="B99" t="s">
        <v>147</v>
      </c>
      <c r="C99" s="34" t="str">
        <f t="shared" si="1"/>
        <v>May</v>
      </c>
      <c r="D99" s="39">
        <v>93</v>
      </c>
      <c r="E99" t="s">
        <v>46</v>
      </c>
      <c r="F99" t="str">
        <f>_xlfn.XLOOKUP(Table1[[#This Row],[Type]],Table2[Type],Table2[Income /
Expense])</f>
        <v>Expense</v>
      </c>
      <c r="G99" t="s">
        <v>47</v>
      </c>
    </row>
    <row r="100" spans="2:7">
      <c r="B100" t="s">
        <v>148</v>
      </c>
      <c r="C100" s="34" t="str">
        <f t="shared" si="1"/>
        <v>May</v>
      </c>
      <c r="D100" s="39">
        <v>110</v>
      </c>
      <c r="E100" t="s">
        <v>49</v>
      </c>
      <c r="F100" t="str">
        <f>_xlfn.XLOOKUP(Table1[[#This Row],[Type]],Table2[Type],Table2[Income /
Expense])</f>
        <v>Expense</v>
      </c>
      <c r="G100" t="s">
        <v>50</v>
      </c>
    </row>
    <row r="101" spans="2:7">
      <c r="B101" t="s">
        <v>149</v>
      </c>
      <c r="C101" s="34" t="str">
        <f t="shared" si="1"/>
        <v>May</v>
      </c>
      <c r="D101" s="39">
        <v>175</v>
      </c>
      <c r="E101" t="s">
        <v>52</v>
      </c>
      <c r="F101" t="str">
        <f>_xlfn.XLOOKUP(Table1[[#This Row],[Type]],Table2[Type],Table2[Income /
Expense])</f>
        <v>Expense</v>
      </c>
      <c r="G101" t="s">
        <v>53</v>
      </c>
    </row>
    <row r="102" spans="2:7">
      <c r="B102" t="s">
        <v>150</v>
      </c>
      <c r="C102" s="34" t="str">
        <f t="shared" si="1"/>
        <v>May</v>
      </c>
      <c r="D102" s="39">
        <v>39</v>
      </c>
      <c r="E102" t="s">
        <v>55</v>
      </c>
      <c r="F102" t="str">
        <f>_xlfn.XLOOKUP(Table1[[#This Row],[Type]],Table2[Type],Table2[Income /
Expense])</f>
        <v>Expense</v>
      </c>
      <c r="G102" t="s">
        <v>56</v>
      </c>
    </row>
    <row r="103" spans="2:7">
      <c r="B103" t="s">
        <v>151</v>
      </c>
      <c r="C103" s="34" t="str">
        <f t="shared" si="1"/>
        <v>May</v>
      </c>
      <c r="D103" s="39">
        <v>485</v>
      </c>
      <c r="E103" t="s">
        <v>58</v>
      </c>
      <c r="F103" t="str">
        <f>_xlfn.XLOOKUP(Table1[[#This Row],[Type]],Table2[Type],Table2[Income /
Expense])</f>
        <v>Expense</v>
      </c>
      <c r="G103" t="s">
        <v>59</v>
      </c>
    </row>
    <row r="104" spans="2:7">
      <c r="B104" t="s">
        <v>152</v>
      </c>
      <c r="C104" s="34" t="str">
        <f t="shared" si="1"/>
        <v>May</v>
      </c>
      <c r="D104" s="39">
        <v>257</v>
      </c>
      <c r="E104" t="s">
        <v>61</v>
      </c>
      <c r="F104" t="str">
        <f>_xlfn.XLOOKUP(Table1[[#This Row],[Type]],Table2[Type],Table2[Income /
Expense])</f>
        <v>Expense</v>
      </c>
      <c r="G104" t="s">
        <v>62</v>
      </c>
    </row>
    <row r="105" spans="2:7">
      <c r="B105" t="s">
        <v>153</v>
      </c>
      <c r="C105" s="34" t="str">
        <f t="shared" si="1"/>
        <v>May</v>
      </c>
      <c r="D105" s="39">
        <v>130</v>
      </c>
      <c r="E105" t="s">
        <v>64</v>
      </c>
      <c r="F105" t="str">
        <f>_xlfn.XLOOKUP(Table1[[#This Row],[Type]],Table2[Type],Table2[Income /
Expense])</f>
        <v>Expense</v>
      </c>
      <c r="G105" t="s">
        <v>65</v>
      </c>
    </row>
    <row r="106" spans="2:7">
      <c r="B106" t="s">
        <v>154</v>
      </c>
      <c r="C106" s="34" t="str">
        <f t="shared" si="1"/>
        <v>May</v>
      </c>
      <c r="D106" s="39">
        <v>0</v>
      </c>
      <c r="E106" t="s">
        <v>67</v>
      </c>
      <c r="F106" t="str">
        <f>_xlfn.XLOOKUP(Table1[[#This Row],[Type]],Table2[Type],Table2[Income /
Expense])</f>
        <v>Expense</v>
      </c>
      <c r="G106" t="s">
        <v>68</v>
      </c>
    </row>
    <row r="107" spans="2:7">
      <c r="B107" t="s">
        <v>155</v>
      </c>
      <c r="C107" s="34" t="str">
        <f t="shared" si="1"/>
        <v>May</v>
      </c>
      <c r="D107" s="39">
        <v>79</v>
      </c>
      <c r="E107" t="s">
        <v>70</v>
      </c>
      <c r="F107" t="str">
        <f>_xlfn.XLOOKUP(Table1[[#This Row],[Type]],Table2[Type],Table2[Income /
Expense])</f>
        <v>Expense</v>
      </c>
      <c r="G107" t="s">
        <v>71</v>
      </c>
    </row>
    <row r="108" spans="2:7">
      <c r="B108" t="s">
        <v>156</v>
      </c>
      <c r="C108" s="34" t="str">
        <f t="shared" si="1"/>
        <v>Jun</v>
      </c>
      <c r="D108" s="39">
        <v>3845</v>
      </c>
      <c r="E108" t="s">
        <v>8</v>
      </c>
      <c r="F108" t="str">
        <f>_xlfn.XLOOKUP(Table1[[#This Row],[Type]],Table2[Type],Table2[Income /
Expense])</f>
        <v>Income</v>
      </c>
      <c r="G108" t="s">
        <v>9</v>
      </c>
    </row>
    <row r="109" spans="2:7">
      <c r="B109" t="s">
        <v>157</v>
      </c>
      <c r="C109" s="34" t="str">
        <f t="shared" si="1"/>
        <v>Jun</v>
      </c>
      <c r="D109" s="39">
        <v>942</v>
      </c>
      <c r="E109" t="s">
        <v>12</v>
      </c>
      <c r="F109" t="str">
        <f>_xlfn.XLOOKUP(Table1[[#This Row],[Type]],Table2[Type],Table2[Income /
Expense])</f>
        <v>Income</v>
      </c>
      <c r="G109" t="s">
        <v>13</v>
      </c>
    </row>
    <row r="110" spans="2:7">
      <c r="B110" t="s">
        <v>158</v>
      </c>
      <c r="C110" s="34" t="str">
        <f t="shared" si="1"/>
        <v>Jun</v>
      </c>
      <c r="D110" s="39">
        <v>123</v>
      </c>
      <c r="E110" t="s">
        <v>15</v>
      </c>
      <c r="F110" t="str">
        <f>_xlfn.XLOOKUP(Table1[[#This Row],[Type]],Table2[Type],Table2[Income /
Expense])</f>
        <v>Income</v>
      </c>
      <c r="G110" t="s">
        <v>16</v>
      </c>
    </row>
    <row r="111" spans="2:7">
      <c r="B111" t="s">
        <v>159</v>
      </c>
      <c r="C111" s="34" t="str">
        <f t="shared" si="1"/>
        <v>Jun</v>
      </c>
      <c r="D111" s="39">
        <v>179</v>
      </c>
      <c r="E111" t="s">
        <v>18</v>
      </c>
      <c r="F111" t="str">
        <f>_xlfn.XLOOKUP(Table1[[#This Row],[Type]],Table2[Type],Table2[Income /
Expense])</f>
        <v>Income</v>
      </c>
      <c r="G111" t="s">
        <v>19</v>
      </c>
    </row>
    <row r="112" spans="2:7">
      <c r="B112" t="s">
        <v>160</v>
      </c>
      <c r="C112" s="34" t="str">
        <f t="shared" si="1"/>
        <v>Jun</v>
      </c>
      <c r="D112" s="39">
        <v>1100</v>
      </c>
      <c r="E112" t="s">
        <v>21</v>
      </c>
      <c r="F112" t="str">
        <f>_xlfn.XLOOKUP(Table1[[#This Row],[Type]],Table2[Type],Table2[Income /
Expense])</f>
        <v>Expense</v>
      </c>
      <c r="G112" t="s">
        <v>22</v>
      </c>
    </row>
    <row r="113" spans="2:7">
      <c r="B113" t="s">
        <v>161</v>
      </c>
      <c r="C113" s="34" t="str">
        <f t="shared" si="1"/>
        <v>Jun</v>
      </c>
      <c r="D113" s="39">
        <v>196</v>
      </c>
      <c r="E113" t="s">
        <v>25</v>
      </c>
      <c r="F113" t="str">
        <f>_xlfn.XLOOKUP(Table1[[#This Row],[Type]],Table2[Type],Table2[Income /
Expense])</f>
        <v>Expense</v>
      </c>
      <c r="G113" t="s">
        <v>26</v>
      </c>
    </row>
    <row r="114" spans="2:7">
      <c r="B114" t="s">
        <v>162</v>
      </c>
      <c r="C114" s="34" t="str">
        <f t="shared" si="1"/>
        <v>Jun</v>
      </c>
      <c r="D114" s="39">
        <v>508</v>
      </c>
      <c r="E114" t="s">
        <v>28</v>
      </c>
      <c r="F114" t="str">
        <f>_xlfn.XLOOKUP(Table1[[#This Row],[Type]],Table2[Type],Table2[Income /
Expense])</f>
        <v>Expense</v>
      </c>
      <c r="G114" t="s">
        <v>29</v>
      </c>
    </row>
    <row r="115" spans="2:7">
      <c r="B115" t="s">
        <v>163</v>
      </c>
      <c r="C115" s="34" t="str">
        <f t="shared" si="1"/>
        <v>Jun</v>
      </c>
      <c r="D115" s="39">
        <v>228</v>
      </c>
      <c r="E115" t="s">
        <v>31</v>
      </c>
      <c r="F115" t="str">
        <f>_xlfn.XLOOKUP(Table1[[#This Row],[Type]],Table2[Type],Table2[Income /
Expense])</f>
        <v>Expense</v>
      </c>
      <c r="G115" t="s">
        <v>32</v>
      </c>
    </row>
    <row r="116" spans="2:7">
      <c r="B116" t="s">
        <v>164</v>
      </c>
      <c r="C116" s="34" t="str">
        <f t="shared" si="1"/>
        <v>Jun</v>
      </c>
      <c r="D116" s="39">
        <v>420</v>
      </c>
      <c r="E116" t="s">
        <v>34</v>
      </c>
      <c r="F116" t="str">
        <f>_xlfn.XLOOKUP(Table1[[#This Row],[Type]],Table2[Type],Table2[Income /
Expense])</f>
        <v>Expense</v>
      </c>
      <c r="G116" t="s">
        <v>35</v>
      </c>
    </row>
    <row r="117" spans="2:7">
      <c r="B117" t="s">
        <v>165</v>
      </c>
      <c r="C117" s="34" t="str">
        <f t="shared" si="1"/>
        <v>Jun</v>
      </c>
      <c r="D117" s="39">
        <v>148</v>
      </c>
      <c r="E117" t="s">
        <v>37</v>
      </c>
      <c r="F117" t="str">
        <f>_xlfn.XLOOKUP(Table1[[#This Row],[Type]],Table2[Type],Table2[Income /
Expense])</f>
        <v>Expense</v>
      </c>
      <c r="G117" t="s">
        <v>38</v>
      </c>
    </row>
    <row r="118" spans="2:7">
      <c r="B118" t="s">
        <v>166</v>
      </c>
      <c r="C118" s="34" t="str">
        <f t="shared" si="1"/>
        <v>Jun</v>
      </c>
      <c r="D118" s="39">
        <v>64</v>
      </c>
      <c r="E118" t="s">
        <v>40</v>
      </c>
      <c r="F118" t="str">
        <f>_xlfn.XLOOKUP(Table1[[#This Row],[Type]],Table2[Type],Table2[Income /
Expense])</f>
        <v>Expense</v>
      </c>
      <c r="G118" t="s">
        <v>41</v>
      </c>
    </row>
    <row r="119" spans="2:7">
      <c r="B119" t="s">
        <v>167</v>
      </c>
      <c r="C119" s="34" t="str">
        <f t="shared" si="1"/>
        <v>Jun</v>
      </c>
      <c r="D119" s="39">
        <v>31</v>
      </c>
      <c r="E119" t="s">
        <v>43</v>
      </c>
      <c r="F119" t="str">
        <f>_xlfn.XLOOKUP(Table1[[#This Row],[Type]],Table2[Type],Table2[Income /
Expense])</f>
        <v>Expense</v>
      </c>
      <c r="G119" t="s">
        <v>44</v>
      </c>
    </row>
    <row r="120" spans="2:7">
      <c r="B120" t="s">
        <v>168</v>
      </c>
      <c r="C120" s="34" t="str">
        <f t="shared" si="1"/>
        <v>Jun</v>
      </c>
      <c r="D120" s="39">
        <v>74</v>
      </c>
      <c r="E120" t="s">
        <v>46</v>
      </c>
      <c r="F120" t="str">
        <f>_xlfn.XLOOKUP(Table1[[#This Row],[Type]],Table2[Type],Table2[Income /
Expense])</f>
        <v>Expense</v>
      </c>
      <c r="G120" t="s">
        <v>47</v>
      </c>
    </row>
    <row r="121" spans="2:7">
      <c r="B121" t="s">
        <v>169</v>
      </c>
      <c r="C121" s="34" t="str">
        <f t="shared" si="1"/>
        <v>Jun</v>
      </c>
      <c r="D121" s="39">
        <v>130</v>
      </c>
      <c r="E121" t="s">
        <v>49</v>
      </c>
      <c r="F121" t="str">
        <f>_xlfn.XLOOKUP(Table1[[#This Row],[Type]],Table2[Type],Table2[Income /
Expense])</f>
        <v>Expense</v>
      </c>
      <c r="G121" t="s">
        <v>50</v>
      </c>
    </row>
    <row r="122" spans="2:7">
      <c r="B122" t="s">
        <v>170</v>
      </c>
      <c r="C122" s="34" t="str">
        <f t="shared" si="1"/>
        <v>Jun</v>
      </c>
      <c r="D122" s="39">
        <v>33</v>
      </c>
      <c r="E122" t="s">
        <v>52</v>
      </c>
      <c r="F122" t="str">
        <f>_xlfn.XLOOKUP(Table1[[#This Row],[Type]],Table2[Type],Table2[Income /
Expense])</f>
        <v>Expense</v>
      </c>
      <c r="G122" t="s">
        <v>53</v>
      </c>
    </row>
    <row r="123" spans="2:7">
      <c r="B123" t="s">
        <v>171</v>
      </c>
      <c r="C123" s="34" t="str">
        <f t="shared" si="1"/>
        <v>Jun</v>
      </c>
      <c r="D123" s="39">
        <v>27</v>
      </c>
      <c r="E123" t="s">
        <v>55</v>
      </c>
      <c r="F123" t="str">
        <f>_xlfn.XLOOKUP(Table1[[#This Row],[Type]],Table2[Type],Table2[Income /
Expense])</f>
        <v>Expense</v>
      </c>
      <c r="G123" t="s">
        <v>56</v>
      </c>
    </row>
    <row r="124" spans="2:7">
      <c r="B124" t="s">
        <v>172</v>
      </c>
      <c r="C124" s="34" t="str">
        <f t="shared" si="1"/>
        <v>Jun</v>
      </c>
      <c r="D124" s="39">
        <v>539</v>
      </c>
      <c r="E124" t="s">
        <v>58</v>
      </c>
      <c r="F124" t="str">
        <f>_xlfn.XLOOKUP(Table1[[#This Row],[Type]],Table2[Type],Table2[Income /
Expense])</f>
        <v>Expense</v>
      </c>
      <c r="G124" t="s">
        <v>59</v>
      </c>
    </row>
    <row r="125" spans="2:7">
      <c r="B125" t="s">
        <v>173</v>
      </c>
      <c r="C125" s="34" t="str">
        <f t="shared" si="1"/>
        <v>Jun</v>
      </c>
      <c r="D125" s="39">
        <v>229</v>
      </c>
      <c r="E125" t="s">
        <v>61</v>
      </c>
      <c r="F125" t="str">
        <f>_xlfn.XLOOKUP(Table1[[#This Row],[Type]],Table2[Type],Table2[Income /
Expense])</f>
        <v>Expense</v>
      </c>
      <c r="G125" t="s">
        <v>62</v>
      </c>
    </row>
    <row r="126" spans="2:7">
      <c r="B126" t="s">
        <v>174</v>
      </c>
      <c r="C126" s="34" t="str">
        <f t="shared" si="1"/>
        <v>Jun</v>
      </c>
      <c r="D126" s="39">
        <v>285</v>
      </c>
      <c r="E126" t="s">
        <v>64</v>
      </c>
      <c r="F126" t="str">
        <f>_xlfn.XLOOKUP(Table1[[#This Row],[Type]],Table2[Type],Table2[Income /
Expense])</f>
        <v>Expense</v>
      </c>
      <c r="G126" t="s">
        <v>65</v>
      </c>
    </row>
    <row r="127" spans="2:7">
      <c r="B127" t="s">
        <v>175</v>
      </c>
      <c r="C127" s="34" t="str">
        <f t="shared" si="1"/>
        <v>Jun</v>
      </c>
      <c r="D127" s="39">
        <v>0</v>
      </c>
      <c r="E127" t="s">
        <v>67</v>
      </c>
      <c r="F127" t="str">
        <f>_xlfn.XLOOKUP(Table1[[#This Row],[Type]],Table2[Type],Table2[Income /
Expense])</f>
        <v>Expense</v>
      </c>
      <c r="G127" t="s">
        <v>68</v>
      </c>
    </row>
    <row r="128" spans="2:7">
      <c r="B128" t="s">
        <v>176</v>
      </c>
      <c r="C128" s="34" t="str">
        <f t="shared" si="1"/>
        <v>Jun</v>
      </c>
      <c r="D128" s="39">
        <v>234</v>
      </c>
      <c r="E128" t="s">
        <v>70</v>
      </c>
      <c r="F128" t="str">
        <f>_xlfn.XLOOKUP(Table1[[#This Row],[Type]],Table2[Type],Table2[Income /
Expense])</f>
        <v>Expense</v>
      </c>
      <c r="G128" t="s">
        <v>71</v>
      </c>
    </row>
    <row r="129" spans="2:7">
      <c r="B129" t="s">
        <v>177</v>
      </c>
      <c r="C129" s="34" t="str">
        <f t="shared" si="1"/>
        <v>Jul</v>
      </c>
      <c r="D129" s="39">
        <v>3848</v>
      </c>
      <c r="E129" t="s">
        <v>8</v>
      </c>
      <c r="F129" t="str">
        <f>_xlfn.XLOOKUP(Table1[[#This Row],[Type]],Table2[Type],Table2[Income /
Expense])</f>
        <v>Income</v>
      </c>
      <c r="G129" t="s">
        <v>9</v>
      </c>
    </row>
    <row r="130" spans="2:7">
      <c r="B130" t="s">
        <v>178</v>
      </c>
      <c r="C130" s="34" t="str">
        <f t="shared" si="1"/>
        <v>Jul</v>
      </c>
      <c r="D130" s="39">
        <v>882</v>
      </c>
      <c r="E130" t="s">
        <v>12</v>
      </c>
      <c r="F130" t="str">
        <f>_xlfn.XLOOKUP(Table1[[#This Row],[Type]],Table2[Type],Table2[Income /
Expense])</f>
        <v>Income</v>
      </c>
      <c r="G130" t="s">
        <v>13</v>
      </c>
    </row>
    <row r="131" spans="2:7">
      <c r="B131" t="s">
        <v>179</v>
      </c>
      <c r="C131" s="34" t="str">
        <f t="shared" si="1"/>
        <v>Jul</v>
      </c>
      <c r="D131" s="39">
        <v>171</v>
      </c>
      <c r="E131" t="s">
        <v>15</v>
      </c>
      <c r="F131" t="str">
        <f>_xlfn.XLOOKUP(Table1[[#This Row],[Type]],Table2[Type],Table2[Income /
Expense])</f>
        <v>Income</v>
      </c>
      <c r="G131" t="s">
        <v>16</v>
      </c>
    </row>
    <row r="132" spans="2:7">
      <c r="B132" t="s">
        <v>180</v>
      </c>
      <c r="C132" s="34" t="str">
        <f t="shared" ref="C132:C195" si="2">TEXT(B132,"mmm")</f>
        <v>Jul</v>
      </c>
      <c r="D132" s="39">
        <v>197</v>
      </c>
      <c r="E132" t="s">
        <v>18</v>
      </c>
      <c r="F132" t="str">
        <f>_xlfn.XLOOKUP(Table1[[#This Row],[Type]],Table2[Type],Table2[Income /
Expense])</f>
        <v>Income</v>
      </c>
      <c r="G132" t="s">
        <v>19</v>
      </c>
    </row>
    <row r="133" spans="2:7">
      <c r="B133" t="s">
        <v>181</v>
      </c>
      <c r="C133" s="34" t="str">
        <f t="shared" si="2"/>
        <v>Jul</v>
      </c>
      <c r="D133" s="39">
        <v>1100</v>
      </c>
      <c r="E133" t="s">
        <v>21</v>
      </c>
      <c r="F133" t="str">
        <f>_xlfn.XLOOKUP(Table1[[#This Row],[Type]],Table2[Type],Table2[Income /
Expense])</f>
        <v>Expense</v>
      </c>
      <c r="G133" t="s">
        <v>22</v>
      </c>
    </row>
    <row r="134" spans="2:7">
      <c r="B134" t="s">
        <v>182</v>
      </c>
      <c r="C134" s="34" t="str">
        <f t="shared" si="2"/>
        <v>Jul</v>
      </c>
      <c r="D134" s="39">
        <v>164</v>
      </c>
      <c r="E134" t="s">
        <v>25</v>
      </c>
      <c r="F134" t="str">
        <f>_xlfn.XLOOKUP(Table1[[#This Row],[Type]],Table2[Type],Table2[Income /
Expense])</f>
        <v>Expense</v>
      </c>
      <c r="G134" t="s">
        <v>26</v>
      </c>
    </row>
    <row r="135" spans="2:7">
      <c r="B135" t="s">
        <v>183</v>
      </c>
      <c r="C135" s="34" t="str">
        <f t="shared" si="2"/>
        <v>Jul</v>
      </c>
      <c r="D135" s="39">
        <v>23</v>
      </c>
      <c r="E135" t="s">
        <v>28</v>
      </c>
      <c r="F135" t="str">
        <f>_xlfn.XLOOKUP(Table1[[#This Row],[Type]],Table2[Type],Table2[Income /
Expense])</f>
        <v>Expense</v>
      </c>
      <c r="G135" t="s">
        <v>29</v>
      </c>
    </row>
    <row r="136" spans="2:7">
      <c r="B136" t="s">
        <v>184</v>
      </c>
      <c r="C136" s="34" t="str">
        <f t="shared" si="2"/>
        <v>Jul</v>
      </c>
      <c r="D136" s="39">
        <v>198</v>
      </c>
      <c r="E136" t="s">
        <v>31</v>
      </c>
      <c r="F136" t="str">
        <f>_xlfn.XLOOKUP(Table1[[#This Row],[Type]],Table2[Type],Table2[Income /
Expense])</f>
        <v>Expense</v>
      </c>
      <c r="G136" t="s">
        <v>32</v>
      </c>
    </row>
    <row r="137" spans="2:7">
      <c r="B137" t="s">
        <v>185</v>
      </c>
      <c r="C137" s="34" t="str">
        <f t="shared" si="2"/>
        <v>Jul</v>
      </c>
      <c r="D137" s="39">
        <v>420</v>
      </c>
      <c r="E137" t="s">
        <v>34</v>
      </c>
      <c r="F137" t="str">
        <f>_xlfn.XLOOKUP(Table1[[#This Row],[Type]],Table2[Type],Table2[Income /
Expense])</f>
        <v>Expense</v>
      </c>
      <c r="G137" t="s">
        <v>35</v>
      </c>
    </row>
    <row r="138" spans="2:7">
      <c r="B138" t="s">
        <v>186</v>
      </c>
      <c r="C138" s="34" t="str">
        <f t="shared" si="2"/>
        <v>Jul</v>
      </c>
      <c r="D138" s="39">
        <v>135</v>
      </c>
      <c r="E138" t="s">
        <v>37</v>
      </c>
      <c r="F138" t="str">
        <f>_xlfn.XLOOKUP(Table1[[#This Row],[Type]],Table2[Type],Table2[Income /
Expense])</f>
        <v>Expense</v>
      </c>
      <c r="G138" t="s">
        <v>38</v>
      </c>
    </row>
    <row r="139" spans="2:7">
      <c r="B139" t="s">
        <v>187</v>
      </c>
      <c r="C139" s="34" t="str">
        <f t="shared" si="2"/>
        <v>Jul</v>
      </c>
      <c r="D139" s="39">
        <v>70</v>
      </c>
      <c r="E139" t="s">
        <v>40</v>
      </c>
      <c r="F139" t="str">
        <f>_xlfn.XLOOKUP(Table1[[#This Row],[Type]],Table2[Type],Table2[Income /
Expense])</f>
        <v>Expense</v>
      </c>
      <c r="G139" t="s">
        <v>41</v>
      </c>
    </row>
    <row r="140" spans="2:7">
      <c r="B140" t="s">
        <v>188</v>
      </c>
      <c r="C140" s="34" t="str">
        <f t="shared" si="2"/>
        <v>Jul</v>
      </c>
      <c r="D140" s="39">
        <v>98</v>
      </c>
      <c r="E140" t="s">
        <v>43</v>
      </c>
      <c r="F140" t="str">
        <f>_xlfn.XLOOKUP(Table1[[#This Row],[Type]],Table2[Type],Table2[Income /
Expense])</f>
        <v>Expense</v>
      </c>
      <c r="G140" t="s">
        <v>44</v>
      </c>
    </row>
    <row r="141" spans="2:7">
      <c r="B141" t="s">
        <v>189</v>
      </c>
      <c r="C141" s="34" t="str">
        <f t="shared" si="2"/>
        <v>Jul</v>
      </c>
      <c r="D141" s="39">
        <v>54</v>
      </c>
      <c r="E141" t="s">
        <v>46</v>
      </c>
      <c r="F141" t="str">
        <f>_xlfn.XLOOKUP(Table1[[#This Row],[Type]],Table2[Type],Table2[Income /
Expense])</f>
        <v>Expense</v>
      </c>
      <c r="G141" t="s">
        <v>47</v>
      </c>
    </row>
    <row r="142" spans="2:7">
      <c r="B142" t="s">
        <v>190</v>
      </c>
      <c r="C142" s="34" t="str">
        <f t="shared" si="2"/>
        <v>Jul</v>
      </c>
      <c r="D142" s="39">
        <v>131</v>
      </c>
      <c r="E142" t="s">
        <v>49</v>
      </c>
      <c r="F142" t="str">
        <f>_xlfn.XLOOKUP(Table1[[#This Row],[Type]],Table2[Type],Table2[Income /
Expense])</f>
        <v>Expense</v>
      </c>
      <c r="G142" t="s">
        <v>50</v>
      </c>
    </row>
    <row r="143" spans="2:7">
      <c r="B143" t="s">
        <v>191</v>
      </c>
      <c r="C143" s="34" t="str">
        <f t="shared" si="2"/>
        <v>Jul</v>
      </c>
      <c r="D143" s="39">
        <v>30</v>
      </c>
      <c r="E143" t="s">
        <v>52</v>
      </c>
      <c r="F143" t="str">
        <f>_xlfn.XLOOKUP(Table1[[#This Row],[Type]],Table2[Type],Table2[Income /
Expense])</f>
        <v>Expense</v>
      </c>
      <c r="G143" t="s">
        <v>53</v>
      </c>
    </row>
    <row r="144" spans="2:7">
      <c r="B144" t="s">
        <v>192</v>
      </c>
      <c r="C144" s="34" t="str">
        <f t="shared" si="2"/>
        <v>Jul</v>
      </c>
      <c r="D144" s="39">
        <v>47</v>
      </c>
      <c r="E144" t="s">
        <v>55</v>
      </c>
      <c r="F144" t="str">
        <f>_xlfn.XLOOKUP(Table1[[#This Row],[Type]],Table2[Type],Table2[Income /
Expense])</f>
        <v>Expense</v>
      </c>
      <c r="G144" t="s">
        <v>56</v>
      </c>
    </row>
    <row r="145" spans="2:7">
      <c r="B145" t="s">
        <v>193</v>
      </c>
      <c r="C145" s="34" t="str">
        <f t="shared" si="2"/>
        <v>Jul</v>
      </c>
      <c r="D145" s="39">
        <v>433</v>
      </c>
      <c r="E145" t="s">
        <v>58</v>
      </c>
      <c r="F145" t="str">
        <f>_xlfn.XLOOKUP(Table1[[#This Row],[Type]],Table2[Type],Table2[Income /
Expense])</f>
        <v>Expense</v>
      </c>
      <c r="G145" t="s">
        <v>59</v>
      </c>
    </row>
    <row r="146" spans="2:7">
      <c r="B146" t="s">
        <v>194</v>
      </c>
      <c r="C146" s="34" t="str">
        <f t="shared" si="2"/>
        <v>Jul</v>
      </c>
      <c r="D146" s="39">
        <v>183</v>
      </c>
      <c r="E146" t="s">
        <v>61</v>
      </c>
      <c r="F146" t="str">
        <f>_xlfn.XLOOKUP(Table1[[#This Row],[Type]],Table2[Type],Table2[Income /
Expense])</f>
        <v>Expense</v>
      </c>
      <c r="G146" t="s">
        <v>62</v>
      </c>
    </row>
    <row r="147" spans="2:7">
      <c r="B147" t="s">
        <v>195</v>
      </c>
      <c r="C147" s="34" t="str">
        <f t="shared" si="2"/>
        <v>Jul</v>
      </c>
      <c r="D147" s="39">
        <v>309</v>
      </c>
      <c r="E147" t="s">
        <v>64</v>
      </c>
      <c r="F147" t="str">
        <f>_xlfn.XLOOKUP(Table1[[#This Row],[Type]],Table2[Type],Table2[Income /
Expense])</f>
        <v>Expense</v>
      </c>
      <c r="G147" t="s">
        <v>65</v>
      </c>
    </row>
    <row r="148" spans="2:7">
      <c r="B148" t="s">
        <v>196</v>
      </c>
      <c r="C148" s="34" t="str">
        <f t="shared" si="2"/>
        <v>Jul</v>
      </c>
      <c r="D148" s="39">
        <v>507</v>
      </c>
      <c r="E148" t="s">
        <v>67</v>
      </c>
      <c r="F148" t="str">
        <f>_xlfn.XLOOKUP(Table1[[#This Row],[Type]],Table2[Type],Table2[Income /
Expense])</f>
        <v>Expense</v>
      </c>
      <c r="G148" t="s">
        <v>68</v>
      </c>
    </row>
    <row r="149" spans="2:7">
      <c r="B149" t="s">
        <v>197</v>
      </c>
      <c r="C149" s="34" t="str">
        <f t="shared" si="2"/>
        <v>Jul</v>
      </c>
      <c r="D149" s="39">
        <v>161</v>
      </c>
      <c r="E149" t="s">
        <v>70</v>
      </c>
      <c r="F149" t="str">
        <f>_xlfn.XLOOKUP(Table1[[#This Row],[Type]],Table2[Type],Table2[Income /
Expense])</f>
        <v>Expense</v>
      </c>
      <c r="G149" t="s">
        <v>71</v>
      </c>
    </row>
    <row r="150" spans="2:7">
      <c r="B150" t="s">
        <v>198</v>
      </c>
      <c r="C150" s="34" t="str">
        <f t="shared" si="2"/>
        <v>Aug</v>
      </c>
      <c r="D150" s="39">
        <v>3848</v>
      </c>
      <c r="E150" t="s">
        <v>8</v>
      </c>
      <c r="F150" t="str">
        <f>_xlfn.XLOOKUP(Table1[[#This Row],[Type]],Table2[Type],Table2[Income /
Expense])</f>
        <v>Income</v>
      </c>
      <c r="G150" t="s">
        <v>9</v>
      </c>
    </row>
    <row r="151" spans="2:7">
      <c r="B151" t="s">
        <v>199</v>
      </c>
      <c r="C151" s="34" t="str">
        <f t="shared" si="2"/>
        <v>Aug</v>
      </c>
      <c r="D151" s="39">
        <v>1316</v>
      </c>
      <c r="E151" t="s">
        <v>12</v>
      </c>
      <c r="F151" t="str">
        <f>_xlfn.XLOOKUP(Table1[[#This Row],[Type]],Table2[Type],Table2[Income /
Expense])</f>
        <v>Income</v>
      </c>
      <c r="G151" t="s">
        <v>13</v>
      </c>
    </row>
    <row r="152" spans="2:7">
      <c r="B152" t="s">
        <v>200</v>
      </c>
      <c r="C152" s="34" t="str">
        <f t="shared" si="2"/>
        <v>Aug</v>
      </c>
      <c r="D152" s="39">
        <v>90</v>
      </c>
      <c r="E152" t="s">
        <v>15</v>
      </c>
      <c r="F152" t="str">
        <f>_xlfn.XLOOKUP(Table1[[#This Row],[Type]],Table2[Type],Table2[Income /
Expense])</f>
        <v>Income</v>
      </c>
      <c r="G152" t="s">
        <v>16</v>
      </c>
    </row>
    <row r="153" spans="2:7">
      <c r="B153" t="s">
        <v>201</v>
      </c>
      <c r="C153" s="34" t="str">
        <f t="shared" si="2"/>
        <v>Aug</v>
      </c>
      <c r="D153" s="39">
        <v>85</v>
      </c>
      <c r="E153" t="s">
        <v>18</v>
      </c>
      <c r="F153" t="str">
        <f>_xlfn.XLOOKUP(Table1[[#This Row],[Type]],Table2[Type],Table2[Income /
Expense])</f>
        <v>Income</v>
      </c>
      <c r="G153" t="s">
        <v>19</v>
      </c>
    </row>
    <row r="154" spans="2:7">
      <c r="B154" t="s">
        <v>202</v>
      </c>
      <c r="C154" s="34" t="str">
        <f t="shared" si="2"/>
        <v>Aug</v>
      </c>
      <c r="D154" s="39">
        <v>1100</v>
      </c>
      <c r="E154" t="s">
        <v>21</v>
      </c>
      <c r="F154" t="str">
        <f>_xlfn.XLOOKUP(Table1[[#This Row],[Type]],Table2[Type],Table2[Income /
Expense])</f>
        <v>Expense</v>
      </c>
      <c r="G154" t="s">
        <v>22</v>
      </c>
    </row>
    <row r="155" spans="2:7">
      <c r="B155" t="s">
        <v>203</v>
      </c>
      <c r="C155" s="34" t="str">
        <f t="shared" si="2"/>
        <v>Aug</v>
      </c>
      <c r="D155" s="39">
        <v>177</v>
      </c>
      <c r="E155" t="s">
        <v>25</v>
      </c>
      <c r="F155" t="str">
        <f>_xlfn.XLOOKUP(Table1[[#This Row],[Type]],Table2[Type],Table2[Income /
Expense])</f>
        <v>Expense</v>
      </c>
      <c r="G155" t="s">
        <v>26</v>
      </c>
    </row>
    <row r="156" spans="2:7">
      <c r="B156" t="s">
        <v>204</v>
      </c>
      <c r="C156" s="34" t="str">
        <f t="shared" si="2"/>
        <v>Aug</v>
      </c>
      <c r="D156" s="39">
        <v>411</v>
      </c>
      <c r="E156" t="s">
        <v>28</v>
      </c>
      <c r="F156" t="str">
        <f>_xlfn.XLOOKUP(Table1[[#This Row],[Type]],Table2[Type],Table2[Income /
Expense])</f>
        <v>Expense</v>
      </c>
      <c r="G156" t="s">
        <v>29</v>
      </c>
    </row>
    <row r="157" spans="2:7">
      <c r="B157" t="s">
        <v>205</v>
      </c>
      <c r="C157" s="34" t="str">
        <f t="shared" si="2"/>
        <v>Aug</v>
      </c>
      <c r="D157" s="39">
        <v>220</v>
      </c>
      <c r="E157" t="s">
        <v>31</v>
      </c>
      <c r="F157" t="str">
        <f>_xlfn.XLOOKUP(Table1[[#This Row],[Type]],Table2[Type],Table2[Income /
Expense])</f>
        <v>Expense</v>
      </c>
      <c r="G157" t="s">
        <v>32</v>
      </c>
    </row>
    <row r="158" spans="2:7">
      <c r="B158" t="s">
        <v>206</v>
      </c>
      <c r="C158" s="34" t="str">
        <f t="shared" si="2"/>
        <v>Aug</v>
      </c>
      <c r="D158" s="39">
        <v>420</v>
      </c>
      <c r="E158" t="s">
        <v>34</v>
      </c>
      <c r="F158" t="str">
        <f>_xlfn.XLOOKUP(Table1[[#This Row],[Type]],Table2[Type],Table2[Income /
Expense])</f>
        <v>Expense</v>
      </c>
      <c r="G158" t="s">
        <v>35</v>
      </c>
    </row>
    <row r="159" spans="2:7">
      <c r="B159" t="s">
        <v>207</v>
      </c>
      <c r="C159" s="34" t="str">
        <f t="shared" si="2"/>
        <v>Aug</v>
      </c>
      <c r="D159" s="39">
        <v>125</v>
      </c>
      <c r="E159" t="s">
        <v>37</v>
      </c>
      <c r="F159" t="str">
        <f>_xlfn.XLOOKUP(Table1[[#This Row],[Type]],Table2[Type],Table2[Income /
Expense])</f>
        <v>Expense</v>
      </c>
      <c r="G159" t="s">
        <v>38</v>
      </c>
    </row>
    <row r="160" spans="2:7">
      <c r="B160" t="s">
        <v>208</v>
      </c>
      <c r="C160" s="34" t="str">
        <f t="shared" si="2"/>
        <v>Aug</v>
      </c>
      <c r="D160" s="39">
        <v>68</v>
      </c>
      <c r="E160" t="s">
        <v>40</v>
      </c>
      <c r="F160" t="str">
        <f>_xlfn.XLOOKUP(Table1[[#This Row],[Type]],Table2[Type],Table2[Income /
Expense])</f>
        <v>Expense</v>
      </c>
      <c r="G160" t="s">
        <v>41</v>
      </c>
    </row>
    <row r="161" spans="2:7">
      <c r="B161" t="s">
        <v>209</v>
      </c>
      <c r="C161" s="34" t="str">
        <f t="shared" si="2"/>
        <v>Aug</v>
      </c>
      <c r="D161" s="39">
        <v>75</v>
      </c>
      <c r="E161" t="s">
        <v>43</v>
      </c>
      <c r="F161" t="str">
        <f>_xlfn.XLOOKUP(Table1[[#This Row],[Type]],Table2[Type],Table2[Income /
Expense])</f>
        <v>Expense</v>
      </c>
      <c r="G161" t="s">
        <v>44</v>
      </c>
    </row>
    <row r="162" spans="2:7">
      <c r="B162" t="s">
        <v>210</v>
      </c>
      <c r="C162" s="34" t="str">
        <f t="shared" si="2"/>
        <v>Aug</v>
      </c>
      <c r="D162" s="39">
        <v>150</v>
      </c>
      <c r="E162" t="s">
        <v>46</v>
      </c>
      <c r="F162" t="str">
        <f>_xlfn.XLOOKUP(Table1[[#This Row],[Type]],Table2[Type],Table2[Income /
Expense])</f>
        <v>Expense</v>
      </c>
      <c r="G162" t="s">
        <v>47</v>
      </c>
    </row>
    <row r="163" spans="2:7">
      <c r="B163" t="s">
        <v>211</v>
      </c>
      <c r="C163" s="34" t="str">
        <f t="shared" si="2"/>
        <v>Aug</v>
      </c>
      <c r="D163" s="39">
        <v>135</v>
      </c>
      <c r="E163" t="s">
        <v>49</v>
      </c>
      <c r="F163" t="str">
        <f>_xlfn.XLOOKUP(Table1[[#This Row],[Type]],Table2[Type],Table2[Income /
Expense])</f>
        <v>Expense</v>
      </c>
      <c r="G163" t="s">
        <v>50</v>
      </c>
    </row>
    <row r="164" spans="2:7">
      <c r="B164" t="s">
        <v>212</v>
      </c>
      <c r="C164" s="34" t="str">
        <f t="shared" si="2"/>
        <v>Aug</v>
      </c>
      <c r="D164" s="39">
        <v>142</v>
      </c>
      <c r="E164" t="s">
        <v>52</v>
      </c>
      <c r="F164" t="str">
        <f>_xlfn.XLOOKUP(Table1[[#This Row],[Type]],Table2[Type],Table2[Income /
Expense])</f>
        <v>Expense</v>
      </c>
      <c r="G164" t="s">
        <v>53</v>
      </c>
    </row>
    <row r="165" spans="2:7">
      <c r="B165" t="s">
        <v>213</v>
      </c>
      <c r="C165" s="34" t="str">
        <f t="shared" si="2"/>
        <v>Aug</v>
      </c>
      <c r="D165" s="39">
        <v>110</v>
      </c>
      <c r="E165" t="s">
        <v>55</v>
      </c>
      <c r="F165" t="str">
        <f>_xlfn.XLOOKUP(Table1[[#This Row],[Type]],Table2[Type],Table2[Income /
Expense])</f>
        <v>Expense</v>
      </c>
      <c r="G165" t="s">
        <v>56</v>
      </c>
    </row>
    <row r="166" spans="2:7">
      <c r="B166" t="s">
        <v>214</v>
      </c>
      <c r="C166" s="34" t="str">
        <f t="shared" si="2"/>
        <v>Aug</v>
      </c>
      <c r="D166" s="39">
        <v>466</v>
      </c>
      <c r="E166" t="s">
        <v>58</v>
      </c>
      <c r="F166" t="str">
        <f>_xlfn.XLOOKUP(Table1[[#This Row],[Type]],Table2[Type],Table2[Income /
Expense])</f>
        <v>Expense</v>
      </c>
      <c r="G166" t="s">
        <v>59</v>
      </c>
    </row>
    <row r="167" spans="2:7">
      <c r="B167" t="s">
        <v>215</v>
      </c>
      <c r="C167" s="34" t="str">
        <f t="shared" si="2"/>
        <v>Aug</v>
      </c>
      <c r="D167" s="39">
        <v>241</v>
      </c>
      <c r="E167" t="s">
        <v>61</v>
      </c>
      <c r="F167" t="str">
        <f>_xlfn.XLOOKUP(Table1[[#This Row],[Type]],Table2[Type],Table2[Income /
Expense])</f>
        <v>Expense</v>
      </c>
      <c r="G167" t="s">
        <v>62</v>
      </c>
    </row>
    <row r="168" spans="2:7">
      <c r="B168" t="s">
        <v>216</v>
      </c>
      <c r="C168" s="34" t="str">
        <f t="shared" si="2"/>
        <v>Aug</v>
      </c>
      <c r="D168" s="39">
        <v>294</v>
      </c>
      <c r="E168" t="s">
        <v>64</v>
      </c>
      <c r="F168" t="str">
        <f>_xlfn.XLOOKUP(Table1[[#This Row],[Type]],Table2[Type],Table2[Income /
Expense])</f>
        <v>Expense</v>
      </c>
      <c r="G168" t="s">
        <v>65</v>
      </c>
    </row>
    <row r="169" spans="2:7">
      <c r="B169" t="s">
        <v>217</v>
      </c>
      <c r="C169" s="34" t="str">
        <f t="shared" si="2"/>
        <v>Aug</v>
      </c>
      <c r="D169" s="39">
        <v>779</v>
      </c>
      <c r="E169" t="s">
        <v>67</v>
      </c>
      <c r="F169" t="str">
        <f>_xlfn.XLOOKUP(Table1[[#This Row],[Type]],Table2[Type],Table2[Income /
Expense])</f>
        <v>Expense</v>
      </c>
      <c r="G169" t="s">
        <v>68</v>
      </c>
    </row>
    <row r="170" spans="2:7">
      <c r="B170" t="s">
        <v>218</v>
      </c>
      <c r="C170" s="34" t="str">
        <f t="shared" si="2"/>
        <v>Aug</v>
      </c>
      <c r="D170" s="39">
        <v>119</v>
      </c>
      <c r="E170" t="s">
        <v>70</v>
      </c>
      <c r="F170" t="str">
        <f>_xlfn.XLOOKUP(Table1[[#This Row],[Type]],Table2[Type],Table2[Income /
Expense])</f>
        <v>Expense</v>
      </c>
      <c r="G170" t="s">
        <v>71</v>
      </c>
    </row>
    <row r="171" spans="2:7">
      <c r="B171" t="s">
        <v>219</v>
      </c>
      <c r="C171" s="34" t="str">
        <f t="shared" si="2"/>
        <v>Sep</v>
      </c>
      <c r="D171" s="39">
        <v>3848</v>
      </c>
      <c r="E171" t="s">
        <v>8</v>
      </c>
      <c r="F171" t="str">
        <f>_xlfn.XLOOKUP(Table1[[#This Row],[Type]],Table2[Type],Table2[Income /
Expense])</f>
        <v>Income</v>
      </c>
      <c r="G171" t="s">
        <v>9</v>
      </c>
    </row>
    <row r="172" spans="2:7">
      <c r="B172" t="s">
        <v>220</v>
      </c>
      <c r="C172" s="34" t="str">
        <f t="shared" si="2"/>
        <v>Sep</v>
      </c>
      <c r="D172" s="39">
        <v>469</v>
      </c>
      <c r="E172" t="s">
        <v>12</v>
      </c>
      <c r="F172" t="str">
        <f>_xlfn.XLOOKUP(Table1[[#This Row],[Type]],Table2[Type],Table2[Income /
Expense])</f>
        <v>Income</v>
      </c>
      <c r="G172" t="s">
        <v>13</v>
      </c>
    </row>
    <row r="173" spans="2:7">
      <c r="B173" t="s">
        <v>221</v>
      </c>
      <c r="C173" s="34" t="str">
        <f t="shared" si="2"/>
        <v>Sep</v>
      </c>
      <c r="D173" s="39">
        <v>102</v>
      </c>
      <c r="E173" t="s">
        <v>15</v>
      </c>
      <c r="F173" t="str">
        <f>_xlfn.XLOOKUP(Table1[[#This Row],[Type]],Table2[Type],Table2[Income /
Expense])</f>
        <v>Income</v>
      </c>
      <c r="G173" t="s">
        <v>16</v>
      </c>
    </row>
    <row r="174" spans="2:7">
      <c r="B174" t="s">
        <v>222</v>
      </c>
      <c r="C174" s="34" t="str">
        <f t="shared" si="2"/>
        <v>Sep</v>
      </c>
      <c r="D174" s="39">
        <v>77</v>
      </c>
      <c r="E174" t="s">
        <v>18</v>
      </c>
      <c r="F174" t="str">
        <f>_xlfn.XLOOKUP(Table1[[#This Row],[Type]],Table2[Type],Table2[Income /
Expense])</f>
        <v>Income</v>
      </c>
      <c r="G174" t="s">
        <v>19</v>
      </c>
    </row>
    <row r="175" spans="2:7">
      <c r="B175" t="s">
        <v>223</v>
      </c>
      <c r="C175" s="34" t="str">
        <f t="shared" si="2"/>
        <v>Sep</v>
      </c>
      <c r="D175" s="39">
        <v>1100</v>
      </c>
      <c r="E175" t="s">
        <v>21</v>
      </c>
      <c r="F175" t="str">
        <f>_xlfn.XLOOKUP(Table1[[#This Row],[Type]],Table2[Type],Table2[Income /
Expense])</f>
        <v>Expense</v>
      </c>
      <c r="G175" t="s">
        <v>22</v>
      </c>
    </row>
    <row r="176" spans="2:7">
      <c r="B176" t="s">
        <v>224</v>
      </c>
      <c r="C176" s="34" t="str">
        <f t="shared" si="2"/>
        <v>Sep</v>
      </c>
      <c r="D176" s="39">
        <v>149</v>
      </c>
      <c r="E176" t="s">
        <v>25</v>
      </c>
      <c r="F176" t="str">
        <f>_xlfn.XLOOKUP(Table1[[#This Row],[Type]],Table2[Type],Table2[Income /
Expense])</f>
        <v>Expense</v>
      </c>
      <c r="G176" t="s">
        <v>26</v>
      </c>
    </row>
    <row r="177" spans="2:7">
      <c r="B177" t="s">
        <v>225</v>
      </c>
      <c r="C177" s="34" t="str">
        <f t="shared" si="2"/>
        <v>Sep</v>
      </c>
      <c r="D177" s="39">
        <v>674</v>
      </c>
      <c r="E177" t="s">
        <v>28</v>
      </c>
      <c r="F177" t="str">
        <f>_xlfn.XLOOKUP(Table1[[#This Row],[Type]],Table2[Type],Table2[Income /
Expense])</f>
        <v>Expense</v>
      </c>
      <c r="G177" t="s">
        <v>29</v>
      </c>
    </row>
    <row r="178" spans="2:7">
      <c r="B178" t="s">
        <v>226</v>
      </c>
      <c r="C178" s="34" t="str">
        <f t="shared" si="2"/>
        <v>Sep</v>
      </c>
      <c r="D178" s="39">
        <v>139</v>
      </c>
      <c r="E178" t="s">
        <v>31</v>
      </c>
      <c r="F178" t="str">
        <f>_xlfn.XLOOKUP(Table1[[#This Row],[Type]],Table2[Type],Table2[Income /
Expense])</f>
        <v>Expense</v>
      </c>
      <c r="G178" t="s">
        <v>32</v>
      </c>
    </row>
    <row r="179" spans="2:7">
      <c r="B179" t="s">
        <v>227</v>
      </c>
      <c r="C179" s="34" t="str">
        <f t="shared" si="2"/>
        <v>Sep</v>
      </c>
      <c r="D179" s="39">
        <v>420</v>
      </c>
      <c r="E179" t="s">
        <v>34</v>
      </c>
      <c r="F179" t="str">
        <f>_xlfn.XLOOKUP(Table1[[#This Row],[Type]],Table2[Type],Table2[Income /
Expense])</f>
        <v>Expense</v>
      </c>
      <c r="G179" t="s">
        <v>35</v>
      </c>
    </row>
    <row r="180" spans="2:7">
      <c r="B180" t="s">
        <v>228</v>
      </c>
      <c r="C180" s="34" t="str">
        <f t="shared" si="2"/>
        <v>Sep</v>
      </c>
      <c r="D180" s="39">
        <v>91</v>
      </c>
      <c r="E180" t="s">
        <v>37</v>
      </c>
      <c r="F180" t="str">
        <f>_xlfn.XLOOKUP(Table1[[#This Row],[Type]],Table2[Type],Table2[Income /
Expense])</f>
        <v>Expense</v>
      </c>
      <c r="G180" t="s">
        <v>38</v>
      </c>
    </row>
    <row r="181" spans="2:7">
      <c r="B181" t="s">
        <v>229</v>
      </c>
      <c r="C181" s="34" t="str">
        <f t="shared" si="2"/>
        <v>Sep</v>
      </c>
      <c r="D181" s="39">
        <v>91</v>
      </c>
      <c r="E181" t="s">
        <v>40</v>
      </c>
      <c r="F181" t="str">
        <f>_xlfn.XLOOKUP(Table1[[#This Row],[Type]],Table2[Type],Table2[Income /
Expense])</f>
        <v>Expense</v>
      </c>
      <c r="G181" t="s">
        <v>41</v>
      </c>
    </row>
    <row r="182" spans="2:7">
      <c r="B182" t="s">
        <v>230</v>
      </c>
      <c r="C182" s="34" t="str">
        <f t="shared" si="2"/>
        <v>Sep</v>
      </c>
      <c r="D182" s="39">
        <v>95</v>
      </c>
      <c r="E182" t="s">
        <v>43</v>
      </c>
      <c r="F182" t="str">
        <f>_xlfn.XLOOKUP(Table1[[#This Row],[Type]],Table2[Type],Table2[Income /
Expense])</f>
        <v>Expense</v>
      </c>
      <c r="G182" t="s">
        <v>44</v>
      </c>
    </row>
    <row r="183" spans="2:7">
      <c r="B183" t="s">
        <v>231</v>
      </c>
      <c r="C183" s="34" t="str">
        <f t="shared" si="2"/>
        <v>Sep</v>
      </c>
      <c r="D183" s="39">
        <v>63</v>
      </c>
      <c r="E183" t="s">
        <v>46</v>
      </c>
      <c r="F183" t="str">
        <f>_xlfn.XLOOKUP(Table1[[#This Row],[Type]],Table2[Type],Table2[Income /
Expense])</f>
        <v>Expense</v>
      </c>
      <c r="G183" t="s">
        <v>47</v>
      </c>
    </row>
    <row r="184" spans="2:7">
      <c r="B184" t="s">
        <v>232</v>
      </c>
      <c r="C184" s="34" t="str">
        <f t="shared" si="2"/>
        <v>Sep</v>
      </c>
      <c r="D184" s="39">
        <v>116</v>
      </c>
      <c r="E184" t="s">
        <v>49</v>
      </c>
      <c r="F184" t="str">
        <f>_xlfn.XLOOKUP(Table1[[#This Row],[Type]],Table2[Type],Table2[Income /
Expense])</f>
        <v>Expense</v>
      </c>
      <c r="G184" t="s">
        <v>50</v>
      </c>
    </row>
    <row r="185" spans="2:7">
      <c r="B185" t="s">
        <v>233</v>
      </c>
      <c r="C185" s="34" t="str">
        <f t="shared" si="2"/>
        <v>Sep</v>
      </c>
      <c r="D185" s="39">
        <v>144</v>
      </c>
      <c r="E185" t="s">
        <v>52</v>
      </c>
      <c r="F185" t="str">
        <f>_xlfn.XLOOKUP(Table1[[#This Row],[Type]],Table2[Type],Table2[Income /
Expense])</f>
        <v>Expense</v>
      </c>
      <c r="G185" t="s">
        <v>53</v>
      </c>
    </row>
    <row r="186" spans="2:7">
      <c r="B186" t="s">
        <v>234</v>
      </c>
      <c r="C186" s="34" t="str">
        <f t="shared" si="2"/>
        <v>Sep</v>
      </c>
      <c r="D186" s="39">
        <v>20</v>
      </c>
      <c r="E186" t="s">
        <v>55</v>
      </c>
      <c r="F186" t="str">
        <f>_xlfn.XLOOKUP(Table1[[#This Row],[Type]],Table2[Type],Table2[Income /
Expense])</f>
        <v>Expense</v>
      </c>
      <c r="G186" t="s">
        <v>56</v>
      </c>
    </row>
    <row r="187" spans="2:7">
      <c r="B187" t="s">
        <v>235</v>
      </c>
      <c r="C187" s="34" t="str">
        <f t="shared" si="2"/>
        <v>Sep</v>
      </c>
      <c r="D187" s="39">
        <v>397</v>
      </c>
      <c r="E187" t="s">
        <v>58</v>
      </c>
      <c r="F187" t="str">
        <f>_xlfn.XLOOKUP(Table1[[#This Row],[Type]],Table2[Type],Table2[Income /
Expense])</f>
        <v>Expense</v>
      </c>
      <c r="G187" t="s">
        <v>59</v>
      </c>
    </row>
    <row r="188" spans="2:7">
      <c r="B188" t="s">
        <v>236</v>
      </c>
      <c r="C188" s="34" t="str">
        <f t="shared" si="2"/>
        <v>Sep</v>
      </c>
      <c r="D188" s="39">
        <v>257</v>
      </c>
      <c r="E188" t="s">
        <v>61</v>
      </c>
      <c r="F188" t="str">
        <f>_xlfn.XLOOKUP(Table1[[#This Row],[Type]],Table2[Type],Table2[Income /
Expense])</f>
        <v>Expense</v>
      </c>
      <c r="G188" t="s">
        <v>62</v>
      </c>
    </row>
    <row r="189" spans="2:7">
      <c r="B189" t="s">
        <v>237</v>
      </c>
      <c r="C189" s="34" t="str">
        <f t="shared" si="2"/>
        <v>Sep</v>
      </c>
      <c r="D189" s="39">
        <v>256</v>
      </c>
      <c r="E189" t="s">
        <v>64</v>
      </c>
      <c r="F189" t="str">
        <f>_xlfn.XLOOKUP(Table1[[#This Row],[Type]],Table2[Type],Table2[Income /
Expense])</f>
        <v>Expense</v>
      </c>
      <c r="G189" t="s">
        <v>65</v>
      </c>
    </row>
    <row r="190" spans="2:7">
      <c r="B190" t="s">
        <v>238</v>
      </c>
      <c r="C190" s="34" t="str">
        <f t="shared" si="2"/>
        <v>Sep</v>
      </c>
      <c r="D190" s="39">
        <v>756</v>
      </c>
      <c r="E190" t="s">
        <v>67</v>
      </c>
      <c r="F190" t="str">
        <f>_xlfn.XLOOKUP(Table1[[#This Row],[Type]],Table2[Type],Table2[Income /
Expense])</f>
        <v>Expense</v>
      </c>
      <c r="G190" t="s">
        <v>68</v>
      </c>
    </row>
    <row r="191" spans="2:7">
      <c r="B191" t="s">
        <v>239</v>
      </c>
      <c r="C191" s="34" t="str">
        <f t="shared" si="2"/>
        <v>Sep</v>
      </c>
      <c r="D191" s="39">
        <v>216</v>
      </c>
      <c r="E191" t="s">
        <v>70</v>
      </c>
      <c r="F191" t="str">
        <f>_xlfn.XLOOKUP(Table1[[#This Row],[Type]],Table2[Type],Table2[Income /
Expense])</f>
        <v>Expense</v>
      </c>
      <c r="G191" t="s">
        <v>71</v>
      </c>
    </row>
    <row r="192" spans="2:7">
      <c r="B192" t="s">
        <v>240</v>
      </c>
      <c r="C192" s="34" t="str">
        <f t="shared" si="2"/>
        <v>Oct</v>
      </c>
      <c r="D192" s="39">
        <v>3848</v>
      </c>
      <c r="E192" t="s">
        <v>8</v>
      </c>
      <c r="F192" t="str">
        <f>_xlfn.XLOOKUP(Table1[[#This Row],[Type]],Table2[Type],Table2[Income /
Expense])</f>
        <v>Income</v>
      </c>
      <c r="G192" t="s">
        <v>9</v>
      </c>
    </row>
    <row r="193" spans="2:7">
      <c r="B193" t="s">
        <v>241</v>
      </c>
      <c r="C193" s="34" t="str">
        <f t="shared" si="2"/>
        <v>Oct</v>
      </c>
      <c r="D193" s="39">
        <v>952</v>
      </c>
      <c r="E193" t="s">
        <v>12</v>
      </c>
      <c r="F193" t="str">
        <f>_xlfn.XLOOKUP(Table1[[#This Row],[Type]],Table2[Type],Table2[Income /
Expense])</f>
        <v>Income</v>
      </c>
      <c r="G193" t="s">
        <v>13</v>
      </c>
    </row>
    <row r="194" spans="2:7">
      <c r="B194" t="s">
        <v>242</v>
      </c>
      <c r="C194" s="34" t="str">
        <f t="shared" si="2"/>
        <v>Oct</v>
      </c>
      <c r="D194" s="39">
        <v>96</v>
      </c>
      <c r="E194" t="s">
        <v>15</v>
      </c>
      <c r="F194" t="str">
        <f>_xlfn.XLOOKUP(Table1[[#This Row],[Type]],Table2[Type],Table2[Income /
Expense])</f>
        <v>Income</v>
      </c>
      <c r="G194" t="s">
        <v>16</v>
      </c>
    </row>
    <row r="195" spans="2:7">
      <c r="B195" t="s">
        <v>243</v>
      </c>
      <c r="C195" s="34" t="str">
        <f t="shared" si="2"/>
        <v>Oct</v>
      </c>
      <c r="D195" s="39">
        <v>263</v>
      </c>
      <c r="E195" t="s">
        <v>18</v>
      </c>
      <c r="F195" t="str">
        <f>_xlfn.XLOOKUP(Table1[[#This Row],[Type]],Table2[Type],Table2[Income /
Expense])</f>
        <v>Income</v>
      </c>
      <c r="G195" t="s">
        <v>19</v>
      </c>
    </row>
    <row r="196" spans="2:7">
      <c r="B196" t="s">
        <v>244</v>
      </c>
      <c r="C196" s="34" t="str">
        <f t="shared" ref="C196:C254" si="3">TEXT(B196,"mmm")</f>
        <v>Oct</v>
      </c>
      <c r="D196" s="39">
        <v>1100</v>
      </c>
      <c r="E196" t="s">
        <v>21</v>
      </c>
      <c r="F196" t="str">
        <f>_xlfn.XLOOKUP(Table1[[#This Row],[Type]],Table2[Type],Table2[Income /
Expense])</f>
        <v>Expense</v>
      </c>
      <c r="G196" t="s">
        <v>22</v>
      </c>
    </row>
    <row r="197" spans="2:7">
      <c r="B197" t="s">
        <v>245</v>
      </c>
      <c r="C197" s="34" t="str">
        <f t="shared" si="3"/>
        <v>Oct</v>
      </c>
      <c r="D197" s="39">
        <v>199</v>
      </c>
      <c r="E197" t="s">
        <v>25</v>
      </c>
      <c r="F197" t="str">
        <f>_xlfn.XLOOKUP(Table1[[#This Row],[Type]],Table2[Type],Table2[Income /
Expense])</f>
        <v>Expense</v>
      </c>
      <c r="G197" t="s">
        <v>26</v>
      </c>
    </row>
    <row r="198" spans="2:7">
      <c r="B198" t="s">
        <v>246</v>
      </c>
      <c r="C198" s="34" t="str">
        <f t="shared" si="3"/>
        <v>Oct</v>
      </c>
      <c r="D198" s="39">
        <v>670</v>
      </c>
      <c r="E198" t="s">
        <v>28</v>
      </c>
      <c r="F198" t="str">
        <f>_xlfn.XLOOKUP(Table1[[#This Row],[Type]],Table2[Type],Table2[Income /
Expense])</f>
        <v>Expense</v>
      </c>
      <c r="G198" t="s">
        <v>29</v>
      </c>
    </row>
    <row r="199" spans="2:7">
      <c r="B199" t="s">
        <v>247</v>
      </c>
      <c r="C199" s="34" t="str">
        <f t="shared" si="3"/>
        <v>Oct</v>
      </c>
      <c r="D199" s="39">
        <v>93</v>
      </c>
      <c r="E199" t="s">
        <v>31</v>
      </c>
      <c r="F199" t="str">
        <f>_xlfn.XLOOKUP(Table1[[#This Row],[Type]],Table2[Type],Table2[Income /
Expense])</f>
        <v>Expense</v>
      </c>
      <c r="G199" t="s">
        <v>32</v>
      </c>
    </row>
    <row r="200" spans="2:7">
      <c r="B200" t="s">
        <v>248</v>
      </c>
      <c r="C200" s="34" t="str">
        <f t="shared" si="3"/>
        <v>Oct</v>
      </c>
      <c r="D200" s="39">
        <v>420</v>
      </c>
      <c r="E200" t="s">
        <v>34</v>
      </c>
      <c r="F200" t="str">
        <f>_xlfn.XLOOKUP(Table1[[#This Row],[Type]],Table2[Type],Table2[Income /
Expense])</f>
        <v>Expense</v>
      </c>
      <c r="G200" t="s">
        <v>35</v>
      </c>
    </row>
    <row r="201" spans="2:7">
      <c r="B201" t="s">
        <v>249</v>
      </c>
      <c r="C201" s="34" t="str">
        <f t="shared" si="3"/>
        <v>Oct</v>
      </c>
      <c r="D201" s="39">
        <v>148</v>
      </c>
      <c r="E201" t="s">
        <v>37</v>
      </c>
      <c r="F201" t="str">
        <f>_xlfn.XLOOKUP(Table1[[#This Row],[Type]],Table2[Type],Table2[Income /
Expense])</f>
        <v>Expense</v>
      </c>
      <c r="G201" t="s">
        <v>38</v>
      </c>
    </row>
    <row r="202" spans="2:7">
      <c r="B202" t="s">
        <v>250</v>
      </c>
      <c r="C202" s="34" t="str">
        <f t="shared" si="3"/>
        <v>Oct</v>
      </c>
      <c r="D202" s="39">
        <v>95</v>
      </c>
      <c r="E202" t="s">
        <v>40</v>
      </c>
      <c r="F202" t="str">
        <f>_xlfn.XLOOKUP(Table1[[#This Row],[Type]],Table2[Type],Table2[Income /
Expense])</f>
        <v>Expense</v>
      </c>
      <c r="G202" t="s">
        <v>41</v>
      </c>
    </row>
    <row r="203" spans="2:7">
      <c r="B203" t="s">
        <v>251</v>
      </c>
      <c r="C203" s="34" t="str">
        <f t="shared" si="3"/>
        <v>Oct</v>
      </c>
      <c r="D203" s="39">
        <v>70</v>
      </c>
      <c r="E203" t="s">
        <v>43</v>
      </c>
      <c r="F203" t="str">
        <f>_xlfn.XLOOKUP(Table1[[#This Row],[Type]],Table2[Type],Table2[Income /
Expense])</f>
        <v>Expense</v>
      </c>
      <c r="G203" t="s">
        <v>44</v>
      </c>
    </row>
    <row r="204" spans="2:7">
      <c r="B204" t="s">
        <v>252</v>
      </c>
      <c r="C204" s="34" t="str">
        <f t="shared" si="3"/>
        <v>Oct</v>
      </c>
      <c r="D204" s="39">
        <v>90</v>
      </c>
      <c r="E204" t="s">
        <v>46</v>
      </c>
      <c r="F204" t="str">
        <f>_xlfn.XLOOKUP(Table1[[#This Row],[Type]],Table2[Type],Table2[Income /
Expense])</f>
        <v>Expense</v>
      </c>
      <c r="G204" t="s">
        <v>47</v>
      </c>
    </row>
    <row r="205" spans="2:7">
      <c r="B205" t="s">
        <v>253</v>
      </c>
      <c r="C205" s="34" t="str">
        <f t="shared" si="3"/>
        <v>Oct</v>
      </c>
      <c r="D205" s="39">
        <v>125</v>
      </c>
      <c r="E205" t="s">
        <v>49</v>
      </c>
      <c r="F205" t="str">
        <f>_xlfn.XLOOKUP(Table1[[#This Row],[Type]],Table2[Type],Table2[Income /
Expense])</f>
        <v>Expense</v>
      </c>
      <c r="G205" t="s">
        <v>50</v>
      </c>
    </row>
    <row r="206" spans="2:7">
      <c r="B206" t="s">
        <v>254</v>
      </c>
      <c r="C206" s="34" t="str">
        <f t="shared" si="3"/>
        <v>Oct</v>
      </c>
      <c r="D206" s="39">
        <v>201</v>
      </c>
      <c r="E206" t="s">
        <v>52</v>
      </c>
      <c r="F206" t="str">
        <f>_xlfn.XLOOKUP(Table1[[#This Row],[Type]],Table2[Type],Table2[Income /
Expense])</f>
        <v>Expense</v>
      </c>
      <c r="G206" t="s">
        <v>53</v>
      </c>
    </row>
    <row r="207" spans="2:7">
      <c r="B207" t="s">
        <v>255</v>
      </c>
      <c r="C207" s="34" t="str">
        <f t="shared" si="3"/>
        <v>Oct</v>
      </c>
      <c r="D207" s="39">
        <v>33</v>
      </c>
      <c r="E207" t="s">
        <v>55</v>
      </c>
      <c r="F207" t="str">
        <f>_xlfn.XLOOKUP(Table1[[#This Row],[Type]],Table2[Type],Table2[Income /
Expense])</f>
        <v>Expense</v>
      </c>
      <c r="G207" t="s">
        <v>56</v>
      </c>
    </row>
    <row r="208" spans="2:7">
      <c r="B208" t="s">
        <v>256</v>
      </c>
      <c r="C208" s="34" t="str">
        <f t="shared" si="3"/>
        <v>Oct</v>
      </c>
      <c r="D208" s="39">
        <v>483</v>
      </c>
      <c r="E208" t="s">
        <v>58</v>
      </c>
      <c r="F208" t="str">
        <f>_xlfn.XLOOKUP(Table1[[#This Row],[Type]],Table2[Type],Table2[Income /
Expense])</f>
        <v>Expense</v>
      </c>
      <c r="G208" t="s">
        <v>59</v>
      </c>
    </row>
    <row r="209" spans="2:7">
      <c r="B209" t="s">
        <v>257</v>
      </c>
      <c r="C209" s="34" t="str">
        <f t="shared" si="3"/>
        <v>Oct</v>
      </c>
      <c r="D209" s="39">
        <v>312</v>
      </c>
      <c r="E209" t="s">
        <v>61</v>
      </c>
      <c r="F209" t="str">
        <f>_xlfn.XLOOKUP(Table1[[#This Row],[Type]],Table2[Type],Table2[Income /
Expense])</f>
        <v>Expense</v>
      </c>
      <c r="G209" t="s">
        <v>62</v>
      </c>
    </row>
    <row r="210" spans="2:7">
      <c r="B210" t="s">
        <v>258</v>
      </c>
      <c r="C210" s="34" t="str">
        <f t="shared" si="3"/>
        <v>Oct</v>
      </c>
      <c r="D210" s="39">
        <v>222</v>
      </c>
      <c r="E210" t="s">
        <v>64</v>
      </c>
      <c r="F210" t="str">
        <f>_xlfn.XLOOKUP(Table1[[#This Row],[Type]],Table2[Type],Table2[Income /
Expense])</f>
        <v>Expense</v>
      </c>
      <c r="G210" t="s">
        <v>65</v>
      </c>
    </row>
    <row r="211" spans="2:7">
      <c r="B211" t="s">
        <v>259</v>
      </c>
      <c r="C211" s="34" t="str">
        <f t="shared" si="3"/>
        <v>Oct</v>
      </c>
      <c r="D211" s="39">
        <v>127</v>
      </c>
      <c r="E211" t="s">
        <v>67</v>
      </c>
      <c r="F211" t="str">
        <f>_xlfn.XLOOKUP(Table1[[#This Row],[Type]],Table2[Type],Table2[Income /
Expense])</f>
        <v>Expense</v>
      </c>
      <c r="G211" t="s">
        <v>68</v>
      </c>
    </row>
    <row r="212" spans="2:7">
      <c r="B212" t="s">
        <v>260</v>
      </c>
      <c r="C212" s="34" t="str">
        <f t="shared" si="3"/>
        <v>Oct</v>
      </c>
      <c r="D212" s="39">
        <v>108</v>
      </c>
      <c r="E212" t="s">
        <v>70</v>
      </c>
      <c r="F212" t="str">
        <f>_xlfn.XLOOKUP(Table1[[#This Row],[Type]],Table2[Type],Table2[Income /
Expense])</f>
        <v>Expense</v>
      </c>
      <c r="G212" t="s">
        <v>71</v>
      </c>
    </row>
    <row r="213" spans="2:7">
      <c r="B213" t="s">
        <v>261</v>
      </c>
      <c r="C213" s="34" t="str">
        <f t="shared" si="3"/>
        <v>Nov</v>
      </c>
      <c r="D213" s="39">
        <v>3848</v>
      </c>
      <c r="E213" t="s">
        <v>8</v>
      </c>
      <c r="F213" t="str">
        <f>_xlfn.XLOOKUP(Table1[[#This Row],[Type]],Table2[Type],Table2[Income /
Expense])</f>
        <v>Income</v>
      </c>
      <c r="G213" t="s">
        <v>9</v>
      </c>
    </row>
    <row r="214" spans="2:7">
      <c r="B214" t="s">
        <v>262</v>
      </c>
      <c r="C214" s="34" t="str">
        <f t="shared" si="3"/>
        <v>Nov</v>
      </c>
      <c r="D214" s="39">
        <v>727</v>
      </c>
      <c r="E214" t="s">
        <v>12</v>
      </c>
      <c r="F214" t="str">
        <f>_xlfn.XLOOKUP(Table1[[#This Row],[Type]],Table2[Type],Table2[Income /
Expense])</f>
        <v>Income</v>
      </c>
      <c r="G214" t="s">
        <v>13</v>
      </c>
    </row>
    <row r="215" spans="2:7">
      <c r="B215" t="s">
        <v>263</v>
      </c>
      <c r="C215" s="34" t="str">
        <f t="shared" si="3"/>
        <v>Nov</v>
      </c>
      <c r="D215" s="39">
        <v>136</v>
      </c>
      <c r="E215" t="s">
        <v>15</v>
      </c>
      <c r="F215" t="str">
        <f>_xlfn.XLOOKUP(Table1[[#This Row],[Type]],Table2[Type],Table2[Income /
Expense])</f>
        <v>Income</v>
      </c>
      <c r="G215" t="s">
        <v>16</v>
      </c>
    </row>
    <row r="216" spans="2:7">
      <c r="B216" t="s">
        <v>264</v>
      </c>
      <c r="C216" s="34" t="str">
        <f t="shared" si="3"/>
        <v>Nov</v>
      </c>
      <c r="D216" s="39">
        <v>83</v>
      </c>
      <c r="E216" t="s">
        <v>18</v>
      </c>
      <c r="F216" t="str">
        <f>_xlfn.XLOOKUP(Table1[[#This Row],[Type]],Table2[Type],Table2[Income /
Expense])</f>
        <v>Income</v>
      </c>
      <c r="G216" t="s">
        <v>19</v>
      </c>
    </row>
    <row r="217" spans="2:7">
      <c r="B217" t="s">
        <v>265</v>
      </c>
      <c r="C217" s="34" t="str">
        <f t="shared" si="3"/>
        <v>Nov</v>
      </c>
      <c r="D217" s="39">
        <v>1100</v>
      </c>
      <c r="E217" t="s">
        <v>21</v>
      </c>
      <c r="F217" t="str">
        <f>_xlfn.XLOOKUP(Table1[[#This Row],[Type]],Table2[Type],Table2[Income /
Expense])</f>
        <v>Expense</v>
      </c>
      <c r="G217" t="s">
        <v>22</v>
      </c>
    </row>
    <row r="218" spans="2:7">
      <c r="B218" t="s">
        <v>266</v>
      </c>
      <c r="C218" s="34" t="str">
        <f t="shared" si="3"/>
        <v>Nov</v>
      </c>
      <c r="D218" s="39">
        <v>134</v>
      </c>
      <c r="E218" t="s">
        <v>25</v>
      </c>
      <c r="F218" t="str">
        <f>_xlfn.XLOOKUP(Table1[[#This Row],[Type]],Table2[Type],Table2[Income /
Expense])</f>
        <v>Expense</v>
      </c>
      <c r="G218" t="s">
        <v>26</v>
      </c>
    </row>
    <row r="219" spans="2:7">
      <c r="B219" t="s">
        <v>267</v>
      </c>
      <c r="C219" s="34" t="str">
        <f t="shared" si="3"/>
        <v>Nov</v>
      </c>
      <c r="D219" s="39">
        <v>348</v>
      </c>
      <c r="E219" t="s">
        <v>28</v>
      </c>
      <c r="F219" t="str">
        <f>_xlfn.XLOOKUP(Table1[[#This Row],[Type]],Table2[Type],Table2[Income /
Expense])</f>
        <v>Expense</v>
      </c>
      <c r="G219" t="s">
        <v>29</v>
      </c>
    </row>
    <row r="220" spans="2:7">
      <c r="B220" t="s">
        <v>268</v>
      </c>
      <c r="C220" s="34" t="str">
        <f t="shared" si="3"/>
        <v>Nov</v>
      </c>
      <c r="D220" s="39">
        <v>233</v>
      </c>
      <c r="E220" t="s">
        <v>31</v>
      </c>
      <c r="F220" t="str">
        <f>_xlfn.XLOOKUP(Table1[[#This Row],[Type]],Table2[Type],Table2[Income /
Expense])</f>
        <v>Expense</v>
      </c>
      <c r="G220" t="s">
        <v>32</v>
      </c>
    </row>
    <row r="221" spans="2:7">
      <c r="B221" t="s">
        <v>269</v>
      </c>
      <c r="C221" s="34" t="str">
        <f t="shared" si="3"/>
        <v>Nov</v>
      </c>
      <c r="D221" s="39">
        <v>420</v>
      </c>
      <c r="E221" t="s">
        <v>34</v>
      </c>
      <c r="F221" t="str">
        <f>_xlfn.XLOOKUP(Table1[[#This Row],[Type]],Table2[Type],Table2[Income /
Expense])</f>
        <v>Expense</v>
      </c>
      <c r="G221" t="s">
        <v>35</v>
      </c>
    </row>
    <row r="222" spans="2:7">
      <c r="B222" t="s">
        <v>270</v>
      </c>
      <c r="C222" s="34" t="str">
        <f t="shared" si="3"/>
        <v>Nov</v>
      </c>
      <c r="D222" s="39">
        <v>96</v>
      </c>
      <c r="E222" t="s">
        <v>37</v>
      </c>
      <c r="F222" t="str">
        <f>_xlfn.XLOOKUP(Table1[[#This Row],[Type]],Table2[Type],Table2[Income /
Expense])</f>
        <v>Expense</v>
      </c>
      <c r="G222" t="s">
        <v>38</v>
      </c>
    </row>
    <row r="223" spans="2:7">
      <c r="B223" t="s">
        <v>271</v>
      </c>
      <c r="C223" s="34" t="str">
        <f t="shared" si="3"/>
        <v>Nov</v>
      </c>
      <c r="D223" s="39">
        <v>66</v>
      </c>
      <c r="E223" t="s">
        <v>40</v>
      </c>
      <c r="F223" t="str">
        <f>_xlfn.XLOOKUP(Table1[[#This Row],[Type]],Table2[Type],Table2[Income /
Expense])</f>
        <v>Expense</v>
      </c>
      <c r="G223" t="s">
        <v>41</v>
      </c>
    </row>
    <row r="224" spans="2:7">
      <c r="B224" t="s">
        <v>272</v>
      </c>
      <c r="C224" s="34" t="str">
        <f t="shared" si="3"/>
        <v>Nov</v>
      </c>
      <c r="D224" s="39">
        <v>20</v>
      </c>
      <c r="E224" t="s">
        <v>43</v>
      </c>
      <c r="F224" t="str">
        <f>_xlfn.XLOOKUP(Table1[[#This Row],[Type]],Table2[Type],Table2[Income /
Expense])</f>
        <v>Expense</v>
      </c>
      <c r="G224" t="s">
        <v>44</v>
      </c>
    </row>
    <row r="225" spans="2:7">
      <c r="B225" t="s">
        <v>273</v>
      </c>
      <c r="C225" s="34" t="str">
        <f t="shared" si="3"/>
        <v>Nov</v>
      </c>
      <c r="D225" s="39">
        <v>112</v>
      </c>
      <c r="E225" t="s">
        <v>46</v>
      </c>
      <c r="F225" t="str">
        <f>_xlfn.XLOOKUP(Table1[[#This Row],[Type]],Table2[Type],Table2[Income /
Expense])</f>
        <v>Expense</v>
      </c>
      <c r="G225" t="s">
        <v>47</v>
      </c>
    </row>
    <row r="226" spans="2:7">
      <c r="B226" t="s">
        <v>274</v>
      </c>
      <c r="C226" s="34" t="str">
        <f t="shared" si="3"/>
        <v>Nov</v>
      </c>
      <c r="D226" s="39">
        <v>109</v>
      </c>
      <c r="E226" t="s">
        <v>49</v>
      </c>
      <c r="F226" t="str">
        <f>_xlfn.XLOOKUP(Table1[[#This Row],[Type]],Table2[Type],Table2[Income /
Expense])</f>
        <v>Expense</v>
      </c>
      <c r="G226" t="s">
        <v>50</v>
      </c>
    </row>
    <row r="227" spans="2:7">
      <c r="B227" t="s">
        <v>275</v>
      </c>
      <c r="C227" s="34" t="str">
        <f t="shared" si="3"/>
        <v>Nov</v>
      </c>
      <c r="D227" s="39">
        <v>274</v>
      </c>
      <c r="E227" t="s">
        <v>52</v>
      </c>
      <c r="F227" t="str">
        <f>_xlfn.XLOOKUP(Table1[[#This Row],[Type]],Table2[Type],Table2[Income /
Expense])</f>
        <v>Expense</v>
      </c>
      <c r="G227" t="s">
        <v>53</v>
      </c>
    </row>
    <row r="228" spans="2:7">
      <c r="B228" t="s">
        <v>276</v>
      </c>
      <c r="C228" s="34" t="str">
        <f t="shared" si="3"/>
        <v>Nov</v>
      </c>
      <c r="D228" s="39">
        <v>32</v>
      </c>
      <c r="E228" t="s">
        <v>55</v>
      </c>
      <c r="F228" t="str">
        <f>_xlfn.XLOOKUP(Table1[[#This Row],[Type]],Table2[Type],Table2[Income /
Expense])</f>
        <v>Expense</v>
      </c>
      <c r="G228" t="s">
        <v>56</v>
      </c>
    </row>
    <row r="229" spans="2:7">
      <c r="B229" t="s">
        <v>277</v>
      </c>
      <c r="C229" s="34" t="str">
        <f t="shared" si="3"/>
        <v>Nov</v>
      </c>
      <c r="D229" s="39">
        <v>453</v>
      </c>
      <c r="E229" t="s">
        <v>58</v>
      </c>
      <c r="F229" t="str">
        <f>_xlfn.XLOOKUP(Table1[[#This Row],[Type]],Table2[Type],Table2[Income /
Expense])</f>
        <v>Expense</v>
      </c>
      <c r="G229" t="s">
        <v>59</v>
      </c>
    </row>
    <row r="230" spans="2:7">
      <c r="B230" t="s">
        <v>278</v>
      </c>
      <c r="C230" s="34" t="str">
        <f t="shared" si="3"/>
        <v>Nov</v>
      </c>
      <c r="D230" s="39">
        <v>307</v>
      </c>
      <c r="E230" t="s">
        <v>61</v>
      </c>
      <c r="F230" t="str">
        <f>_xlfn.XLOOKUP(Table1[[#This Row],[Type]],Table2[Type],Table2[Income /
Expense])</f>
        <v>Expense</v>
      </c>
      <c r="G230" t="s">
        <v>62</v>
      </c>
    </row>
    <row r="231" spans="2:7">
      <c r="B231" t="s">
        <v>279</v>
      </c>
      <c r="C231" s="34" t="str">
        <f t="shared" si="3"/>
        <v>Nov</v>
      </c>
      <c r="D231" s="39">
        <v>126</v>
      </c>
      <c r="E231" t="s">
        <v>64</v>
      </c>
      <c r="F231" t="str">
        <f>_xlfn.XLOOKUP(Table1[[#This Row],[Type]],Table2[Type],Table2[Income /
Expense])</f>
        <v>Expense</v>
      </c>
      <c r="G231" t="s">
        <v>65</v>
      </c>
    </row>
    <row r="232" spans="2:7">
      <c r="B232" t="s">
        <v>280</v>
      </c>
      <c r="C232" s="34" t="str">
        <f t="shared" si="3"/>
        <v>Nov</v>
      </c>
      <c r="D232" s="39">
        <v>144</v>
      </c>
      <c r="E232" t="s">
        <v>67</v>
      </c>
      <c r="F232" t="str">
        <f>_xlfn.XLOOKUP(Table1[[#This Row],[Type]],Table2[Type],Table2[Income /
Expense])</f>
        <v>Expense</v>
      </c>
      <c r="G232" t="s">
        <v>68</v>
      </c>
    </row>
    <row r="233" spans="2:7">
      <c r="B233" t="s">
        <v>281</v>
      </c>
      <c r="C233" s="34" t="str">
        <f t="shared" si="3"/>
        <v>Nov</v>
      </c>
      <c r="D233" s="39">
        <v>283</v>
      </c>
      <c r="E233" t="s">
        <v>70</v>
      </c>
      <c r="F233" t="str">
        <f>_xlfn.XLOOKUP(Table1[[#This Row],[Type]],Table2[Type],Table2[Income /
Expense])</f>
        <v>Expense</v>
      </c>
      <c r="G233" t="s">
        <v>71</v>
      </c>
    </row>
    <row r="234" spans="2:7">
      <c r="B234" t="s">
        <v>282</v>
      </c>
      <c r="C234" s="34" t="str">
        <f t="shared" si="3"/>
        <v>Dec</v>
      </c>
      <c r="D234" s="39">
        <v>3848</v>
      </c>
      <c r="E234" t="s">
        <v>8</v>
      </c>
      <c r="F234" t="str">
        <f>_xlfn.XLOOKUP(Table1[[#This Row],[Type]],Table2[Type],Table2[Income /
Expense])</f>
        <v>Income</v>
      </c>
      <c r="G234" t="s">
        <v>9</v>
      </c>
    </row>
    <row r="235" spans="2:7">
      <c r="B235" t="s">
        <v>283</v>
      </c>
      <c r="C235" s="34" t="str">
        <f t="shared" si="3"/>
        <v>Dec</v>
      </c>
      <c r="D235" s="39">
        <v>1070</v>
      </c>
      <c r="E235" t="s">
        <v>12</v>
      </c>
      <c r="F235" t="str">
        <f>_xlfn.XLOOKUP(Table1[[#This Row],[Type]],Table2[Type],Table2[Income /
Expense])</f>
        <v>Income</v>
      </c>
      <c r="G235" t="s">
        <v>13</v>
      </c>
    </row>
    <row r="236" spans="2:7">
      <c r="B236" t="s">
        <v>284</v>
      </c>
      <c r="C236" s="34" t="str">
        <f t="shared" si="3"/>
        <v>Dec</v>
      </c>
      <c r="D236" s="39">
        <v>99</v>
      </c>
      <c r="E236" t="s">
        <v>15</v>
      </c>
      <c r="F236" t="str">
        <f>_xlfn.XLOOKUP(Table1[[#This Row],[Type]],Table2[Type],Table2[Income /
Expense])</f>
        <v>Income</v>
      </c>
      <c r="G236" t="s">
        <v>16</v>
      </c>
    </row>
    <row r="237" spans="2:7">
      <c r="B237" t="s">
        <v>285</v>
      </c>
      <c r="C237" s="34" t="str">
        <f t="shared" si="3"/>
        <v>Dec</v>
      </c>
      <c r="D237" s="39">
        <v>129</v>
      </c>
      <c r="E237" t="s">
        <v>18</v>
      </c>
      <c r="F237" t="str">
        <f>_xlfn.XLOOKUP(Table1[[#This Row],[Type]],Table2[Type],Table2[Income /
Expense])</f>
        <v>Income</v>
      </c>
      <c r="G237" t="s">
        <v>19</v>
      </c>
    </row>
    <row r="238" spans="2:7">
      <c r="B238" t="s">
        <v>286</v>
      </c>
      <c r="C238" s="34" t="str">
        <f t="shared" si="3"/>
        <v>Dec</v>
      </c>
      <c r="D238" s="39">
        <v>1100</v>
      </c>
      <c r="E238" t="s">
        <v>21</v>
      </c>
      <c r="F238" t="str">
        <f>_xlfn.XLOOKUP(Table1[[#This Row],[Type]],Table2[Type],Table2[Income /
Expense])</f>
        <v>Expense</v>
      </c>
      <c r="G238" t="s">
        <v>22</v>
      </c>
    </row>
    <row r="239" spans="2:7">
      <c r="B239" t="s">
        <v>287</v>
      </c>
      <c r="C239" s="34" t="str">
        <f t="shared" si="3"/>
        <v>Dec</v>
      </c>
      <c r="D239" s="39">
        <v>164</v>
      </c>
      <c r="E239" t="s">
        <v>25</v>
      </c>
      <c r="F239" t="str">
        <f>_xlfn.XLOOKUP(Table1[[#This Row],[Type]],Table2[Type],Table2[Income /
Expense])</f>
        <v>Expense</v>
      </c>
      <c r="G239" t="s">
        <v>26</v>
      </c>
    </row>
    <row r="240" spans="2:7">
      <c r="B240" t="s">
        <v>288</v>
      </c>
      <c r="C240" s="34" t="str">
        <f t="shared" si="3"/>
        <v>Dec</v>
      </c>
      <c r="D240" s="39">
        <v>616</v>
      </c>
      <c r="E240" t="s">
        <v>28</v>
      </c>
      <c r="F240" t="str">
        <f>_xlfn.XLOOKUP(Table1[[#This Row],[Type]],Table2[Type],Table2[Income /
Expense])</f>
        <v>Expense</v>
      </c>
      <c r="G240" t="s">
        <v>29</v>
      </c>
    </row>
    <row r="241" spans="2:7">
      <c r="B241" t="s">
        <v>289</v>
      </c>
      <c r="C241" s="34" t="str">
        <f t="shared" si="3"/>
        <v>Dec</v>
      </c>
      <c r="D241" s="39">
        <v>173</v>
      </c>
      <c r="E241" t="s">
        <v>31</v>
      </c>
      <c r="F241" t="str">
        <f>_xlfn.XLOOKUP(Table1[[#This Row],[Type]],Table2[Type],Table2[Income /
Expense])</f>
        <v>Expense</v>
      </c>
      <c r="G241" t="s">
        <v>32</v>
      </c>
    </row>
    <row r="242" spans="2:7">
      <c r="B242" t="s">
        <v>290</v>
      </c>
      <c r="C242" s="34" t="str">
        <f t="shared" si="3"/>
        <v>Dec</v>
      </c>
      <c r="D242" s="39">
        <v>420</v>
      </c>
      <c r="E242" t="s">
        <v>34</v>
      </c>
      <c r="F242" t="str">
        <f>_xlfn.XLOOKUP(Table1[[#This Row],[Type]],Table2[Type],Table2[Income /
Expense])</f>
        <v>Expense</v>
      </c>
      <c r="G242" t="s">
        <v>35</v>
      </c>
    </row>
    <row r="243" spans="2:7">
      <c r="B243" t="s">
        <v>291</v>
      </c>
      <c r="C243" s="34" t="str">
        <f t="shared" si="3"/>
        <v>Dec</v>
      </c>
      <c r="D243" s="39">
        <v>150</v>
      </c>
      <c r="E243" t="s">
        <v>37</v>
      </c>
      <c r="F243" t="str">
        <f>_xlfn.XLOOKUP(Table1[[#This Row],[Type]],Table2[Type],Table2[Income /
Expense])</f>
        <v>Expense</v>
      </c>
      <c r="G243" t="s">
        <v>38</v>
      </c>
    </row>
    <row r="244" spans="2:7">
      <c r="B244" t="s">
        <v>292</v>
      </c>
      <c r="C244" s="34" t="str">
        <f t="shared" si="3"/>
        <v>Dec</v>
      </c>
      <c r="D244" s="39">
        <v>67</v>
      </c>
      <c r="E244" t="s">
        <v>40</v>
      </c>
      <c r="F244" t="str">
        <f>_xlfn.XLOOKUP(Table1[[#This Row],[Type]],Table2[Type],Table2[Income /
Expense])</f>
        <v>Expense</v>
      </c>
      <c r="G244" t="s">
        <v>41</v>
      </c>
    </row>
    <row r="245" spans="2:7">
      <c r="B245" t="s">
        <v>293</v>
      </c>
      <c r="C245" s="34" t="str">
        <f t="shared" si="3"/>
        <v>Dec</v>
      </c>
      <c r="D245" s="39">
        <v>34</v>
      </c>
      <c r="E245" t="s">
        <v>43</v>
      </c>
      <c r="F245" t="str">
        <f>_xlfn.XLOOKUP(Table1[[#This Row],[Type]],Table2[Type],Table2[Income /
Expense])</f>
        <v>Expense</v>
      </c>
      <c r="G245" t="s">
        <v>44</v>
      </c>
    </row>
    <row r="246" spans="2:7">
      <c r="B246" t="s">
        <v>294</v>
      </c>
      <c r="C246" s="34" t="str">
        <f t="shared" si="3"/>
        <v>Dec</v>
      </c>
      <c r="D246" s="39">
        <v>148</v>
      </c>
      <c r="E246" t="s">
        <v>46</v>
      </c>
      <c r="F246" t="str">
        <f>_xlfn.XLOOKUP(Table1[[#This Row],[Type]],Table2[Type],Table2[Income /
Expense])</f>
        <v>Expense</v>
      </c>
      <c r="G246" t="s">
        <v>47</v>
      </c>
    </row>
    <row r="247" spans="2:7">
      <c r="B247" t="s">
        <v>295</v>
      </c>
      <c r="C247" s="34" t="str">
        <f t="shared" si="3"/>
        <v>Dec</v>
      </c>
      <c r="D247" s="39">
        <v>131</v>
      </c>
      <c r="E247" t="s">
        <v>49</v>
      </c>
      <c r="F247" t="str">
        <f>_xlfn.XLOOKUP(Table1[[#This Row],[Type]],Table2[Type],Table2[Income /
Expense])</f>
        <v>Expense</v>
      </c>
      <c r="G247" t="s">
        <v>50</v>
      </c>
    </row>
    <row r="248" spans="2:7">
      <c r="B248" t="s">
        <v>296</v>
      </c>
      <c r="C248" s="34" t="str">
        <f t="shared" si="3"/>
        <v>Dec</v>
      </c>
      <c r="D248" s="39">
        <v>238</v>
      </c>
      <c r="E248" t="s">
        <v>52</v>
      </c>
      <c r="F248" t="str">
        <f>_xlfn.XLOOKUP(Table1[[#This Row],[Type]],Table2[Type],Table2[Income /
Expense])</f>
        <v>Expense</v>
      </c>
      <c r="G248" t="s">
        <v>53</v>
      </c>
    </row>
    <row r="249" spans="2:7">
      <c r="B249" t="s">
        <v>297</v>
      </c>
      <c r="C249" s="34" t="str">
        <f t="shared" si="3"/>
        <v>Dec</v>
      </c>
      <c r="D249" s="39">
        <v>81</v>
      </c>
      <c r="E249" t="s">
        <v>55</v>
      </c>
      <c r="F249" t="str">
        <f>_xlfn.XLOOKUP(Table1[[#This Row],[Type]],Table2[Type],Table2[Income /
Expense])</f>
        <v>Expense</v>
      </c>
      <c r="G249" t="s">
        <v>56</v>
      </c>
    </row>
    <row r="250" spans="2:7">
      <c r="B250" t="s">
        <v>298</v>
      </c>
      <c r="C250" s="34" t="str">
        <f t="shared" si="3"/>
        <v>Dec</v>
      </c>
      <c r="D250" s="39">
        <v>483</v>
      </c>
      <c r="E250" t="s">
        <v>58</v>
      </c>
      <c r="F250" t="str">
        <f>_xlfn.XLOOKUP(Table1[[#This Row],[Type]],Table2[Type],Table2[Income /
Expense])</f>
        <v>Expense</v>
      </c>
      <c r="G250" t="s">
        <v>59</v>
      </c>
    </row>
    <row r="251" spans="2:7">
      <c r="B251" t="s">
        <v>299</v>
      </c>
      <c r="C251" s="34" t="str">
        <f t="shared" si="3"/>
        <v>Dec</v>
      </c>
      <c r="D251" s="39">
        <v>229</v>
      </c>
      <c r="E251" t="s">
        <v>61</v>
      </c>
      <c r="F251" t="str">
        <f>_xlfn.XLOOKUP(Table1[[#This Row],[Type]],Table2[Type],Table2[Income /
Expense])</f>
        <v>Expense</v>
      </c>
      <c r="G251" t="s">
        <v>62</v>
      </c>
    </row>
    <row r="252" spans="2:7">
      <c r="B252" t="s">
        <v>300</v>
      </c>
      <c r="C252" s="34" t="str">
        <f t="shared" si="3"/>
        <v>Dec</v>
      </c>
      <c r="D252" s="39">
        <v>141</v>
      </c>
      <c r="E252" t="s">
        <v>64</v>
      </c>
      <c r="F252" t="str">
        <f>_xlfn.XLOOKUP(Table1[[#This Row],[Type]],Table2[Type],Table2[Income /
Expense])</f>
        <v>Expense</v>
      </c>
      <c r="G252" t="s">
        <v>65</v>
      </c>
    </row>
    <row r="253" spans="2:7">
      <c r="B253" t="s">
        <v>301</v>
      </c>
      <c r="C253" s="34" t="str">
        <f t="shared" si="3"/>
        <v>Dec</v>
      </c>
      <c r="D253" s="39">
        <v>295</v>
      </c>
      <c r="E253" t="s">
        <v>67</v>
      </c>
      <c r="F253" t="str">
        <f>_xlfn.XLOOKUP(Table1[[#This Row],[Type]],Table2[Type],Table2[Income /
Expense])</f>
        <v>Expense</v>
      </c>
      <c r="G253" t="s">
        <v>68</v>
      </c>
    </row>
    <row r="254" spans="2:7">
      <c r="B254" t="s">
        <v>302</v>
      </c>
      <c r="C254" s="34" t="str">
        <f t="shared" si="3"/>
        <v>Dec</v>
      </c>
      <c r="D254" s="39">
        <v>86</v>
      </c>
      <c r="E254" t="s">
        <v>70</v>
      </c>
      <c r="F254" t="str">
        <f>_xlfn.XLOOKUP(Table1[[#This Row],[Type]],Table2[Type],Table2[Income /
Expense])</f>
        <v>Expense</v>
      </c>
      <c r="G254" t="s">
        <v>71</v>
      </c>
    </row>
  </sheetData>
  <dataValidations count="1">
    <dataValidation type="list" allowBlank="1" showInputMessage="1" showErrorMessage="1" sqref="E3:E254">
      <formula1>$I$3:$I$23</formula1>
    </dataValidation>
  </dataValidations>
  <pageMargins left="0.7" right="0.7" top="0.75" bottom="0.75" header="0.3" footer="0.3"/>
  <pageSetup paperSize="9" orientation="portrait"/>
  <headerFooter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6"/>
  <sheetViews>
    <sheetView zoomScale="134" zoomScaleNormal="134" topLeftCell="A11" workbookViewId="0">
      <selection activeCell="B11" sqref="B11"/>
    </sheetView>
  </sheetViews>
  <sheetFormatPr defaultColWidth="11" defaultRowHeight="15"/>
  <cols>
    <col min="1" max="1" width="5.33333333333333" customWidth="1"/>
    <col min="2" max="2" width="20.1666666666667" customWidth="1"/>
    <col min="3" max="16" width="8.83333333333333" style="2" customWidth="1"/>
  </cols>
  <sheetData>
    <row r="1" ht="33" spans="2:16"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5" ht="15.6" spans="2:3">
      <c r="B5" s="2"/>
      <c r="C5" s="29"/>
    </row>
    <row r="6" ht="15.6" spans="2:3">
      <c r="B6" s="2"/>
      <c r="C6" s="29"/>
    </row>
    <row r="7" ht="15.6" spans="2:3">
      <c r="B7" s="2"/>
      <c r="C7" s="29"/>
    </row>
    <row r="8" ht="15.6" spans="2:3">
      <c r="B8" s="2"/>
      <c r="C8" s="29"/>
    </row>
    <row r="11" ht="15.6" spans="2:16">
      <c r="B11" s="30" t="s">
        <v>10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spans="2:16">
      <c r="B12" t="s">
        <v>8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26"/>
      <c r="P12" s="26"/>
    </row>
    <row r="13" spans="2:16">
      <c r="B13" t="s">
        <v>12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26"/>
      <c r="P13" s="26"/>
    </row>
    <row r="14" spans="2:16">
      <c r="B14" t="s">
        <v>15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26"/>
      <c r="P14" s="26"/>
    </row>
    <row r="15" spans="2:16">
      <c r="B15" t="s">
        <v>18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26"/>
      <c r="P15" s="26"/>
    </row>
    <row r="16" s="1" customFormat="1" spans="3:16"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8" ht="15.6" spans="2:16">
      <c r="B18" s="30" t="s">
        <v>304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spans="2:16">
      <c r="B19" t="s">
        <v>21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2:16">
      <c r="B20" t="s">
        <v>25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2:16">
      <c r="B21" t="s">
        <v>28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2:16">
      <c r="B22" t="s">
        <v>31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="1" customFormat="1" spans="3:16"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</row>
    <row r="25" ht="15.6" spans="2:16">
      <c r="B25" s="30" t="s">
        <v>305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6" spans="2:16">
      <c r="B26" t="s">
        <v>34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2:16">
      <c r="B27" t="s">
        <v>37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2:16">
      <c r="B28" t="s">
        <v>40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2:16">
      <c r="B29" t="s">
        <v>43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="1" customFormat="1" spans="3:16"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2" ht="15.6" spans="2:16">
      <c r="B32" s="30" t="s">
        <v>306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3" spans="2:16">
      <c r="B33" t="s">
        <v>46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2:16">
      <c r="B34" t="s">
        <v>49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2:16">
      <c r="B35" t="s">
        <v>52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2:16">
      <c r="B36" t="s">
        <v>55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2:16">
      <c r="B37" t="s">
        <v>58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="1" customFormat="1" spans="3:16"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40" ht="15.6" spans="2:16">
      <c r="B40" s="30" t="s">
        <v>307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spans="2:16">
      <c r="B41" t="s">
        <v>61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2:16">
      <c r="B42" t="s">
        <v>64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2:16">
      <c r="B43" t="s">
        <v>67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2:16">
      <c r="B44" t="s">
        <v>70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="1" customFormat="1" spans="2:16">
      <c r="B45" s="1" t="s">
        <v>308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</row>
    <row r="46" s="1" customFormat="1" spans="2:16">
      <c r="B46" s="1" t="s">
        <v>309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50"/>
  <sheetViews>
    <sheetView showGridLines="0" tabSelected="1" zoomScale="120" zoomScaleNormal="120" workbookViewId="0">
      <selection activeCell="N50" sqref="N50"/>
    </sheetView>
  </sheetViews>
  <sheetFormatPr defaultColWidth="11.1666666666667" defaultRowHeight="15"/>
  <cols>
    <col min="1" max="1" width="5.33333333333333" customWidth="1"/>
    <col min="2" max="2" width="20.1666666666667" customWidth="1"/>
    <col min="3" max="15" width="7.66666666666667" style="2" customWidth="1"/>
    <col min="16" max="16" width="11.6893939393939" style="2" customWidth="1"/>
  </cols>
  <sheetData>
    <row r="1" ht="33" spans="2:16">
      <c r="B1" s="3" t="s">
        <v>310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4" ht="15.6" spans="2:3">
      <c r="B4" s="2" t="s">
        <v>311</v>
      </c>
      <c r="C4" s="5">
        <f>O15</f>
        <v>57528</v>
      </c>
    </row>
    <row r="5" ht="15.6" spans="2:3">
      <c r="B5" s="2" t="s">
        <v>312</v>
      </c>
      <c r="C5" s="6">
        <f>O45</f>
        <v>53833</v>
      </c>
    </row>
    <row r="6" ht="15.6" spans="2:3">
      <c r="B6" s="2" t="s">
        <v>313</v>
      </c>
      <c r="C6" s="7">
        <f>C4-C5</f>
        <v>3695</v>
      </c>
    </row>
    <row r="7" ht="15.6" spans="2:3">
      <c r="B7" s="2" t="s">
        <v>314</v>
      </c>
      <c r="C7" s="7">
        <f>N50</f>
        <v>13695</v>
      </c>
    </row>
    <row r="10" ht="15.6" spans="2:16">
      <c r="B10" s="8" t="s">
        <v>10</v>
      </c>
      <c r="C10" s="9" t="s">
        <v>315</v>
      </c>
      <c r="D10" s="9" t="s">
        <v>316</v>
      </c>
      <c r="E10" s="9" t="s">
        <v>317</v>
      </c>
      <c r="F10" s="9" t="s">
        <v>318</v>
      </c>
      <c r="G10" s="9" t="s">
        <v>319</v>
      </c>
      <c r="H10" s="9" t="s">
        <v>320</v>
      </c>
      <c r="I10" s="9" t="s">
        <v>321</v>
      </c>
      <c r="J10" s="9" t="s">
        <v>322</v>
      </c>
      <c r="K10" s="9" t="s">
        <v>323</v>
      </c>
      <c r="L10" s="9" t="s">
        <v>324</v>
      </c>
      <c r="M10" s="9" t="s">
        <v>325</v>
      </c>
      <c r="N10" s="9" t="s">
        <v>326</v>
      </c>
      <c r="O10" s="9" t="s">
        <v>327</v>
      </c>
      <c r="P10" s="9" t="s">
        <v>328</v>
      </c>
    </row>
    <row r="11" spans="2:16">
      <c r="B11" t="s">
        <v>8</v>
      </c>
      <c r="C11" s="10">
        <f>SUMIFS(Table1[Amount],Table1[Type],'Final Result'!$B11,Table1[Month],'Final Result'!C$10)</f>
        <v>3282</v>
      </c>
      <c r="D11" s="10">
        <f>SUMIFS(Table1[Amount],Table1[Type],'Final Result'!$B11,Table1[Month],'Final Result'!D$10)</f>
        <v>3223</v>
      </c>
      <c r="E11" s="10">
        <f>SUMIFS(Table1[Amount],Table1[Type],'Final Result'!$B11,Table1[Month],'Final Result'!E$10)</f>
        <v>3236</v>
      </c>
      <c r="F11" s="10">
        <f>SUMIFS(Table1[Amount],Table1[Type],'Final Result'!$B11,Table1[Month],'Final Result'!F$10)</f>
        <v>3358</v>
      </c>
      <c r="G11" s="10">
        <f>SUMIFS(Table1[Amount],Table1[Type],'Final Result'!$B11,Table1[Month],'Final Result'!G$10)</f>
        <v>3334</v>
      </c>
      <c r="H11" s="10">
        <f>SUMIFS(Table1[Amount],Table1[Type],'Final Result'!$B11,Table1[Month],'Final Result'!H$10)</f>
        <v>3845</v>
      </c>
      <c r="I11" s="10">
        <f>SUMIFS(Table1[Amount],Table1[Type],'Final Result'!$B11,Table1[Month],'Final Result'!I$10)</f>
        <v>3848</v>
      </c>
      <c r="J11" s="10">
        <f>SUMIFS(Table1[Amount],Table1[Type],'Final Result'!$B11,Table1[Month],'Final Result'!J$10)</f>
        <v>3848</v>
      </c>
      <c r="K11" s="10">
        <f>SUMIFS(Table1[Amount],Table1[Type],'Final Result'!$B11,Table1[Month],'Final Result'!K$10)</f>
        <v>3848</v>
      </c>
      <c r="L11" s="10">
        <f>SUMIFS(Table1[Amount],Table1[Type],'Final Result'!$B11,Table1[Month],'Final Result'!L$10)</f>
        <v>3848</v>
      </c>
      <c r="M11" s="10">
        <f>SUMIFS(Table1[Amount],Table1[Type],'Final Result'!$B11,Table1[Month],'Final Result'!M$10)</f>
        <v>3848</v>
      </c>
      <c r="N11" s="10">
        <f>SUMIFS(Table1[Amount],Table1[Type],'Final Result'!$B11,Table1[Month],'Final Result'!N$10)</f>
        <v>3848</v>
      </c>
      <c r="O11" s="26">
        <f t="shared" ref="O11:P14" si="0">SUM(C11:N11)</f>
        <v>43366</v>
      </c>
      <c r="P11" s="26">
        <f t="shared" si="0"/>
        <v>83450</v>
      </c>
    </row>
    <row r="12" spans="2:16">
      <c r="B12" t="s">
        <v>12</v>
      </c>
      <c r="C12" s="10">
        <f>SUMIFS(Table1[Amount],Table1[Type],'Final Result'!$B12,Table1[Month],'Final Result'!C$10)</f>
        <v>608</v>
      </c>
      <c r="D12" s="10">
        <f>SUMIFS(Table1[Amount],Table1[Type],'Final Result'!$B12,Table1[Month],'Final Result'!D$10)</f>
        <v>1169</v>
      </c>
      <c r="E12" s="10">
        <f>SUMIFS(Table1[Amount],Table1[Type],'Final Result'!$B12,Table1[Month],'Final Result'!E$10)</f>
        <v>541</v>
      </c>
      <c r="F12" s="10">
        <f>SUMIFS(Table1[Amount],Table1[Type],'Final Result'!$B12,Table1[Month],'Final Result'!F$10)</f>
        <v>721</v>
      </c>
      <c r="G12" s="10">
        <f>SUMIFS(Table1[Amount],Table1[Type],'Final Result'!$B12,Table1[Month],'Final Result'!G$10)</f>
        <v>1313</v>
      </c>
      <c r="H12" s="10">
        <f>SUMIFS(Table1[Amount],Table1[Type],'Final Result'!$B12,Table1[Month],'Final Result'!H$10)</f>
        <v>942</v>
      </c>
      <c r="I12" s="10">
        <f>SUMIFS(Table1[Amount],Table1[Type],'Final Result'!$B12,Table1[Month],'Final Result'!I$10)</f>
        <v>882</v>
      </c>
      <c r="J12" s="10">
        <f>SUMIFS(Table1[Amount],Table1[Type],'Final Result'!$B12,Table1[Month],'Final Result'!J$10)</f>
        <v>1316</v>
      </c>
      <c r="K12" s="10">
        <f>SUMIFS(Table1[Amount],Table1[Type],'Final Result'!$B12,Table1[Month],'Final Result'!K$10)</f>
        <v>469</v>
      </c>
      <c r="L12" s="10">
        <f>SUMIFS(Table1[Amount],Table1[Type],'Final Result'!$B12,Table1[Month],'Final Result'!L$10)</f>
        <v>952</v>
      </c>
      <c r="M12" s="10">
        <f>SUMIFS(Table1[Amount],Table1[Type],'Final Result'!$B12,Table1[Month],'Final Result'!M$10)</f>
        <v>727</v>
      </c>
      <c r="N12" s="10">
        <f>SUMIFS(Table1[Amount],Table1[Type],'Final Result'!$B12,Table1[Month],'Final Result'!N$10)</f>
        <v>1070</v>
      </c>
      <c r="O12" s="26">
        <f t="shared" si="0"/>
        <v>10710</v>
      </c>
      <c r="P12" s="26">
        <f t="shared" si="0"/>
        <v>20812</v>
      </c>
    </row>
    <row r="13" spans="2:16">
      <c r="B13" t="s">
        <v>15</v>
      </c>
      <c r="C13" s="10">
        <f>SUMIFS(Table1[Amount],Table1[Type],'Final Result'!$B13,Table1[Month],'Final Result'!C$10)</f>
        <v>130</v>
      </c>
      <c r="D13" s="10">
        <f>SUMIFS(Table1[Amount],Table1[Type],'Final Result'!$B13,Table1[Month],'Final Result'!D$10)</f>
        <v>87</v>
      </c>
      <c r="E13" s="10">
        <f>SUMIFS(Table1[Amount],Table1[Type],'Final Result'!$B13,Table1[Month],'Final Result'!E$10)</f>
        <v>153</v>
      </c>
      <c r="F13" s="10">
        <f>SUMIFS(Table1[Amount],Table1[Type],'Final Result'!$B13,Table1[Month],'Final Result'!F$10)</f>
        <v>143</v>
      </c>
      <c r="G13" s="10">
        <f>SUMIFS(Table1[Amount],Table1[Type],'Final Result'!$B13,Table1[Month],'Final Result'!G$10)</f>
        <v>192</v>
      </c>
      <c r="H13" s="10">
        <f>SUMIFS(Table1[Amount],Table1[Type],'Final Result'!$B13,Table1[Month],'Final Result'!H$10)</f>
        <v>123</v>
      </c>
      <c r="I13" s="10">
        <f>SUMIFS(Table1[Amount],Table1[Type],'Final Result'!$B13,Table1[Month],'Final Result'!I$10)</f>
        <v>171</v>
      </c>
      <c r="J13" s="10">
        <f>SUMIFS(Table1[Amount],Table1[Type],'Final Result'!$B13,Table1[Month],'Final Result'!J$10)</f>
        <v>90</v>
      </c>
      <c r="K13" s="10">
        <f>SUMIFS(Table1[Amount],Table1[Type],'Final Result'!$B13,Table1[Month],'Final Result'!K$10)</f>
        <v>102</v>
      </c>
      <c r="L13" s="10">
        <f>SUMIFS(Table1[Amount],Table1[Type],'Final Result'!$B13,Table1[Month],'Final Result'!L$10)</f>
        <v>96</v>
      </c>
      <c r="M13" s="10">
        <f>SUMIFS(Table1[Amount],Table1[Type],'Final Result'!$B13,Table1[Month],'Final Result'!M$10)</f>
        <v>136</v>
      </c>
      <c r="N13" s="10">
        <f>SUMIFS(Table1[Amount],Table1[Type],'Final Result'!$B13,Table1[Month],'Final Result'!N$10)</f>
        <v>99</v>
      </c>
      <c r="O13" s="26">
        <f t="shared" si="0"/>
        <v>1522</v>
      </c>
      <c r="P13" s="26">
        <f t="shared" si="0"/>
        <v>2914</v>
      </c>
    </row>
    <row r="14" spans="2:16">
      <c r="B14" t="s">
        <v>18</v>
      </c>
      <c r="C14" s="11">
        <f>SUMIFS(Table1[Amount],Table1[Type],'Final Result'!$B14,Table1[Month],'Final Result'!C$10)</f>
        <v>24</v>
      </c>
      <c r="D14" s="11">
        <f>SUMIFS(Table1[Amount],Table1[Type],'Final Result'!$B14,Table1[Month],'Final Result'!D$10)</f>
        <v>289</v>
      </c>
      <c r="E14" s="11">
        <f>SUMIFS(Table1[Amount],Table1[Type],'Final Result'!$B14,Table1[Month],'Final Result'!E$10)</f>
        <v>157</v>
      </c>
      <c r="F14" s="11">
        <f>SUMIFS(Table1[Amount],Table1[Type],'Final Result'!$B14,Table1[Month],'Final Result'!F$10)</f>
        <v>272</v>
      </c>
      <c r="G14" s="11">
        <f>SUMIFS(Table1[Amount],Table1[Type],'Final Result'!$B14,Table1[Month],'Final Result'!G$10)</f>
        <v>175</v>
      </c>
      <c r="H14" s="11">
        <f>SUMIFS(Table1[Amount],Table1[Type],'Final Result'!$B14,Table1[Month],'Final Result'!H$10)</f>
        <v>179</v>
      </c>
      <c r="I14" s="11">
        <f>SUMIFS(Table1[Amount],Table1[Type],'Final Result'!$B14,Table1[Month],'Final Result'!I$10)</f>
        <v>197</v>
      </c>
      <c r="J14" s="11">
        <f>SUMIFS(Table1[Amount],Table1[Type],'Final Result'!$B14,Table1[Month],'Final Result'!J$10)</f>
        <v>85</v>
      </c>
      <c r="K14" s="11">
        <f>SUMIFS(Table1[Amount],Table1[Type],'Final Result'!$B14,Table1[Month],'Final Result'!K$10)</f>
        <v>77</v>
      </c>
      <c r="L14" s="11">
        <f>SUMIFS(Table1[Amount],Table1[Type],'Final Result'!$B14,Table1[Month],'Final Result'!L$10)</f>
        <v>263</v>
      </c>
      <c r="M14" s="11">
        <f>SUMIFS(Table1[Amount],Table1[Type],'Final Result'!$B14,Table1[Month],'Final Result'!M$10)</f>
        <v>83</v>
      </c>
      <c r="N14" s="11">
        <f>SUMIFS(Table1[Amount],Table1[Type],'Final Result'!$B14,Table1[Month],'Final Result'!N$10)</f>
        <v>129</v>
      </c>
      <c r="O14" s="26">
        <f t="shared" si="0"/>
        <v>1930</v>
      </c>
      <c r="P14" s="26">
        <f t="shared" si="0"/>
        <v>3836</v>
      </c>
    </row>
    <row r="15" s="1" customFormat="1" ht="15.6" spans="2:16">
      <c r="B15" s="12" t="s">
        <v>329</v>
      </c>
      <c r="C15" s="13">
        <f t="shared" ref="C15:N15" si="1">SUM(C11:C14)</f>
        <v>4044</v>
      </c>
      <c r="D15" s="13">
        <f t="shared" si="1"/>
        <v>4768</v>
      </c>
      <c r="E15" s="13">
        <f t="shared" si="1"/>
        <v>4087</v>
      </c>
      <c r="F15" s="13">
        <f t="shared" si="1"/>
        <v>4494</v>
      </c>
      <c r="G15" s="13">
        <f t="shared" si="1"/>
        <v>5014</v>
      </c>
      <c r="H15" s="13">
        <f t="shared" si="1"/>
        <v>5089</v>
      </c>
      <c r="I15" s="13">
        <f t="shared" si="1"/>
        <v>5098</v>
      </c>
      <c r="J15" s="13">
        <f t="shared" si="1"/>
        <v>5339</v>
      </c>
      <c r="K15" s="13">
        <f t="shared" si="1"/>
        <v>4496</v>
      </c>
      <c r="L15" s="13">
        <f t="shared" si="1"/>
        <v>5159</v>
      </c>
      <c r="M15" s="13">
        <f t="shared" si="1"/>
        <v>4794</v>
      </c>
      <c r="N15" s="13">
        <f t="shared" si="1"/>
        <v>5146</v>
      </c>
      <c r="O15" s="13">
        <f t="shared" ref="O15" si="2">SUM(O11:O14)</f>
        <v>57528</v>
      </c>
      <c r="P15" s="13">
        <f t="shared" ref="P15" si="3">SUM(P11:P14)</f>
        <v>111012</v>
      </c>
    </row>
    <row r="17" ht="15.6" spans="2:16">
      <c r="B17" s="14" t="s">
        <v>304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 t="s">
        <v>327</v>
      </c>
      <c r="P17" s="15" t="s">
        <v>328</v>
      </c>
    </row>
    <row r="18" spans="2:16">
      <c r="B18" t="s">
        <v>21</v>
      </c>
      <c r="C18" s="16">
        <f>SUMIFS(Table1[Amount],Table1[Type],'Final Result'!$B18,Table1[Month],'Final Result'!C$10)</f>
        <v>1100</v>
      </c>
      <c r="D18" s="16">
        <f>SUMIFS(Table1[Amount],Table1[Type],'Final Result'!$B18,Table1[Month],'Final Result'!D$10)</f>
        <v>1100</v>
      </c>
      <c r="E18" s="16">
        <f>SUMIFS(Table1[Amount],Table1[Type],'Final Result'!$B18,Table1[Month],'Final Result'!E$10)</f>
        <v>1100</v>
      </c>
      <c r="F18" s="16">
        <f>SUMIFS(Table1[Amount],Table1[Type],'Final Result'!$B18,Table1[Month],'Final Result'!F$10)</f>
        <v>1100</v>
      </c>
      <c r="G18" s="16">
        <f>SUMIFS(Table1[Amount],Table1[Type],'Final Result'!$B18,Table1[Month],'Final Result'!G$10)</f>
        <v>1100</v>
      </c>
      <c r="H18" s="16">
        <f>SUMIFS(Table1[Amount],Table1[Type],'Final Result'!$B18,Table1[Month],'Final Result'!H$10)</f>
        <v>1100</v>
      </c>
      <c r="I18" s="16">
        <f>SUMIFS(Table1[Amount],Table1[Type],'Final Result'!$B18,Table1[Month],'Final Result'!I$10)</f>
        <v>1100</v>
      </c>
      <c r="J18" s="16">
        <f>SUMIFS(Table1[Amount],Table1[Type],'Final Result'!$B18,Table1[Month],'Final Result'!J$10)</f>
        <v>1100</v>
      </c>
      <c r="K18" s="16">
        <f>SUMIFS(Table1[Amount],Table1[Type],'Final Result'!$B18,Table1[Month],'Final Result'!K$10)</f>
        <v>1100</v>
      </c>
      <c r="L18" s="16">
        <f>SUMIFS(Table1[Amount],Table1[Type],'Final Result'!$B18,Table1[Month],'Final Result'!L$10)</f>
        <v>1100</v>
      </c>
      <c r="M18" s="16">
        <f>SUMIFS(Table1[Amount],Table1[Type],'Final Result'!$B18,Table1[Month],'Final Result'!M$10)</f>
        <v>1100</v>
      </c>
      <c r="N18" s="16">
        <f>SUMIFS(Table1[Amount],Table1[Type],'Final Result'!$B18,Table1[Month],'Final Result'!N$10)</f>
        <v>1100</v>
      </c>
      <c r="O18" s="26">
        <f t="shared" ref="O18:O21" si="4">SUM(C18:N18)</f>
        <v>13200</v>
      </c>
      <c r="P18" s="26">
        <f t="shared" ref="P18:P21" si="5">SUM(D18:O18)</f>
        <v>25300</v>
      </c>
    </row>
    <row r="19" spans="2:16">
      <c r="B19" t="s">
        <v>25</v>
      </c>
      <c r="C19" s="16">
        <f>SUMIFS(Table1[Amount],Table1[Type],'Final Result'!$B19,Table1[Month],'Final Result'!C$10)</f>
        <v>129</v>
      </c>
      <c r="D19" s="16">
        <f>SUMIFS(Table1[Amount],Table1[Type],'Final Result'!$B19,Table1[Month],'Final Result'!D$10)</f>
        <v>135</v>
      </c>
      <c r="E19" s="16">
        <f>SUMIFS(Table1[Amount],Table1[Type],'Final Result'!$B19,Table1[Month],'Final Result'!E$10)</f>
        <v>191</v>
      </c>
      <c r="F19" s="16">
        <f>SUMIFS(Table1[Amount],Table1[Type],'Final Result'!$B19,Table1[Month],'Final Result'!F$10)</f>
        <v>174</v>
      </c>
      <c r="G19" s="16">
        <f>SUMIFS(Table1[Amount],Table1[Type],'Final Result'!$B19,Table1[Month],'Final Result'!G$10)</f>
        <v>177</v>
      </c>
      <c r="H19" s="16">
        <f>SUMIFS(Table1[Amount],Table1[Type],'Final Result'!$B19,Table1[Month],'Final Result'!H$10)</f>
        <v>196</v>
      </c>
      <c r="I19" s="16">
        <f>SUMIFS(Table1[Amount],Table1[Type],'Final Result'!$B19,Table1[Month],'Final Result'!I$10)</f>
        <v>164</v>
      </c>
      <c r="J19" s="16">
        <f>SUMIFS(Table1[Amount],Table1[Type],'Final Result'!$B19,Table1[Month],'Final Result'!J$10)</f>
        <v>177</v>
      </c>
      <c r="K19" s="16">
        <f>SUMIFS(Table1[Amount],Table1[Type],'Final Result'!$B19,Table1[Month],'Final Result'!K$10)</f>
        <v>149</v>
      </c>
      <c r="L19" s="16">
        <f>SUMIFS(Table1[Amount],Table1[Type],'Final Result'!$B19,Table1[Month],'Final Result'!L$10)</f>
        <v>199</v>
      </c>
      <c r="M19" s="16">
        <f>SUMIFS(Table1[Amount],Table1[Type],'Final Result'!$B19,Table1[Month],'Final Result'!M$10)</f>
        <v>134</v>
      </c>
      <c r="N19" s="16">
        <f>SUMIFS(Table1[Amount],Table1[Type],'Final Result'!$B19,Table1[Month],'Final Result'!N$10)</f>
        <v>164</v>
      </c>
      <c r="O19" s="26">
        <f t="shared" si="4"/>
        <v>1989</v>
      </c>
      <c r="P19" s="26">
        <f t="shared" si="5"/>
        <v>3849</v>
      </c>
    </row>
    <row r="20" spans="2:16">
      <c r="B20" t="s">
        <v>28</v>
      </c>
      <c r="C20" s="16">
        <f>SUMIFS(Table1[Amount],Table1[Type],'Final Result'!$B20,Table1[Month],'Final Result'!C$10)</f>
        <v>840</v>
      </c>
      <c r="D20" s="16">
        <f>SUMIFS(Table1[Amount],Table1[Type],'Final Result'!$B20,Table1[Month],'Final Result'!D$10)</f>
        <v>228</v>
      </c>
      <c r="E20" s="16">
        <f>SUMIFS(Table1[Amount],Table1[Type],'Final Result'!$B20,Table1[Month],'Final Result'!E$10)</f>
        <v>835</v>
      </c>
      <c r="F20" s="16">
        <f>SUMIFS(Table1[Amount],Table1[Type],'Final Result'!$B20,Table1[Month],'Final Result'!F$10)</f>
        <v>795</v>
      </c>
      <c r="G20" s="16">
        <f>SUMIFS(Table1[Amount],Table1[Type],'Final Result'!$B20,Table1[Month],'Final Result'!G$10)</f>
        <v>294</v>
      </c>
      <c r="H20" s="16">
        <f>SUMIFS(Table1[Amount],Table1[Type],'Final Result'!$B20,Table1[Month],'Final Result'!H$10)</f>
        <v>508</v>
      </c>
      <c r="I20" s="16">
        <f>SUMIFS(Table1[Amount],Table1[Type],'Final Result'!$B20,Table1[Month],'Final Result'!I$10)</f>
        <v>23</v>
      </c>
      <c r="J20" s="16">
        <f>SUMIFS(Table1[Amount],Table1[Type],'Final Result'!$B20,Table1[Month],'Final Result'!J$10)</f>
        <v>411</v>
      </c>
      <c r="K20" s="16">
        <f>SUMIFS(Table1[Amount],Table1[Type],'Final Result'!$B20,Table1[Month],'Final Result'!K$10)</f>
        <v>674</v>
      </c>
      <c r="L20" s="16">
        <f>SUMIFS(Table1[Amount],Table1[Type],'Final Result'!$B20,Table1[Month],'Final Result'!L$10)</f>
        <v>670</v>
      </c>
      <c r="M20" s="16">
        <f>SUMIFS(Table1[Amount],Table1[Type],'Final Result'!$B20,Table1[Month],'Final Result'!M$10)</f>
        <v>348</v>
      </c>
      <c r="N20" s="16">
        <f>SUMIFS(Table1[Amount],Table1[Type],'Final Result'!$B20,Table1[Month],'Final Result'!N$10)</f>
        <v>616</v>
      </c>
      <c r="O20" s="26">
        <f t="shared" si="4"/>
        <v>6242</v>
      </c>
      <c r="P20" s="26">
        <f t="shared" si="5"/>
        <v>11644</v>
      </c>
    </row>
    <row r="21" spans="2:16">
      <c r="B21" t="s">
        <v>31</v>
      </c>
      <c r="C21" s="17">
        <f>SUMIFS(Table1[Amount],Table1[Type],'Final Result'!$B21,Table1[Month],'Final Result'!C$10)</f>
        <v>217</v>
      </c>
      <c r="D21" s="17">
        <f>SUMIFS(Table1[Amount],Table1[Type],'Final Result'!$B21,Table1[Month],'Final Result'!D$10)</f>
        <v>240</v>
      </c>
      <c r="E21" s="17">
        <f>SUMIFS(Table1[Amount],Table1[Type],'Final Result'!$B21,Table1[Month],'Final Result'!E$10)</f>
        <v>126</v>
      </c>
      <c r="F21" s="17">
        <f>SUMIFS(Table1[Amount],Table1[Type],'Final Result'!$B21,Table1[Month],'Final Result'!F$10)</f>
        <v>160</v>
      </c>
      <c r="G21" s="17">
        <f>SUMIFS(Table1[Amount],Table1[Type],'Final Result'!$B21,Table1[Month],'Final Result'!G$10)</f>
        <v>235</v>
      </c>
      <c r="H21" s="17">
        <f>SUMIFS(Table1[Amount],Table1[Type],'Final Result'!$B21,Table1[Month],'Final Result'!H$10)</f>
        <v>228</v>
      </c>
      <c r="I21" s="17">
        <f>SUMIFS(Table1[Amount],Table1[Type],'Final Result'!$B21,Table1[Month],'Final Result'!I$10)</f>
        <v>198</v>
      </c>
      <c r="J21" s="17">
        <f>SUMIFS(Table1[Amount],Table1[Type],'Final Result'!$B21,Table1[Month],'Final Result'!J$10)</f>
        <v>220</v>
      </c>
      <c r="K21" s="17">
        <f>SUMIFS(Table1[Amount],Table1[Type],'Final Result'!$B21,Table1[Month],'Final Result'!K$10)</f>
        <v>139</v>
      </c>
      <c r="L21" s="17">
        <f>SUMIFS(Table1[Amount],Table1[Type],'Final Result'!$B21,Table1[Month],'Final Result'!L$10)</f>
        <v>93</v>
      </c>
      <c r="M21" s="17">
        <f>SUMIFS(Table1[Amount],Table1[Type],'Final Result'!$B21,Table1[Month],'Final Result'!M$10)</f>
        <v>233</v>
      </c>
      <c r="N21" s="17">
        <f>SUMIFS(Table1[Amount],Table1[Type],'Final Result'!$B21,Table1[Month],'Final Result'!N$10)</f>
        <v>173</v>
      </c>
      <c r="O21" s="26">
        <f t="shared" si="4"/>
        <v>2262</v>
      </c>
      <c r="P21" s="26">
        <f t="shared" si="5"/>
        <v>4307</v>
      </c>
    </row>
    <row r="22" s="1" customFormat="1" ht="15.6" spans="2:16">
      <c r="B22" s="12" t="s">
        <v>330</v>
      </c>
      <c r="C22" s="13">
        <f t="shared" ref="C22:N22" si="6">SUM(C18:C21)</f>
        <v>2286</v>
      </c>
      <c r="D22" s="13">
        <f t="shared" si="6"/>
        <v>1703</v>
      </c>
      <c r="E22" s="13">
        <f t="shared" si="6"/>
        <v>2252</v>
      </c>
      <c r="F22" s="13">
        <f t="shared" si="6"/>
        <v>2229</v>
      </c>
      <c r="G22" s="13">
        <f t="shared" si="6"/>
        <v>1806</v>
      </c>
      <c r="H22" s="13">
        <f t="shared" si="6"/>
        <v>2032</v>
      </c>
      <c r="I22" s="13">
        <f t="shared" si="6"/>
        <v>1485</v>
      </c>
      <c r="J22" s="13">
        <f t="shared" si="6"/>
        <v>1908</v>
      </c>
      <c r="K22" s="13">
        <f t="shared" si="6"/>
        <v>2062</v>
      </c>
      <c r="L22" s="13">
        <f t="shared" si="6"/>
        <v>2062</v>
      </c>
      <c r="M22" s="13">
        <f t="shared" si="6"/>
        <v>1815</v>
      </c>
      <c r="N22" s="13">
        <f t="shared" si="6"/>
        <v>2053</v>
      </c>
      <c r="O22" s="13">
        <f t="shared" ref="O22" si="7">SUM(O18:O21)</f>
        <v>23693</v>
      </c>
      <c r="P22" s="13">
        <f t="shared" ref="P22" si="8">SUM(P18:P21)</f>
        <v>45100</v>
      </c>
    </row>
    <row r="24" ht="15.6" spans="2:16">
      <c r="B24" s="14" t="s">
        <v>305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 t="s">
        <v>327</v>
      </c>
      <c r="P24" s="15" t="s">
        <v>328</v>
      </c>
    </row>
    <row r="25" spans="2:16">
      <c r="B25" t="s">
        <v>34</v>
      </c>
      <c r="C25" s="16">
        <f>SUMIFS(Table1[Amount],Table1[Type],'Final Result'!$B25,Table1[Month],'Final Result'!C$10)</f>
        <v>420</v>
      </c>
      <c r="D25" s="16">
        <f>SUMIFS(Table1[Amount],Table1[Type],'Final Result'!$B25,Table1[Month],'Final Result'!D$10)</f>
        <v>420</v>
      </c>
      <c r="E25" s="16">
        <f>SUMIFS(Table1[Amount],Table1[Type],'Final Result'!$B25,Table1[Month],'Final Result'!E$10)</f>
        <v>420</v>
      </c>
      <c r="F25" s="16">
        <f>SUMIFS(Table1[Amount],Table1[Type],'Final Result'!$B25,Table1[Month],'Final Result'!F$10)</f>
        <v>420</v>
      </c>
      <c r="G25" s="16">
        <f>SUMIFS(Table1[Amount],Table1[Type],'Final Result'!$B25,Table1[Month],'Final Result'!G$10)</f>
        <v>420</v>
      </c>
      <c r="H25" s="16">
        <f>SUMIFS(Table1[Amount],Table1[Type],'Final Result'!$B25,Table1[Month],'Final Result'!H$10)</f>
        <v>420</v>
      </c>
      <c r="I25" s="16">
        <f>SUMIFS(Table1[Amount],Table1[Type],'Final Result'!$B25,Table1[Month],'Final Result'!I$10)</f>
        <v>420</v>
      </c>
      <c r="J25" s="16">
        <f>SUMIFS(Table1[Amount],Table1[Type],'Final Result'!$B25,Table1[Month],'Final Result'!J$10)</f>
        <v>420</v>
      </c>
      <c r="K25" s="16">
        <f>SUMIFS(Table1[Amount],Table1[Type],'Final Result'!$B25,Table1[Month],'Final Result'!K$10)</f>
        <v>420</v>
      </c>
      <c r="L25" s="16">
        <f>SUMIFS(Table1[Amount],Table1[Type],'Final Result'!$B25,Table1[Month],'Final Result'!L$10)</f>
        <v>420</v>
      </c>
      <c r="M25" s="16">
        <f>SUMIFS(Table1[Amount],Table1[Type],'Final Result'!$B25,Table1[Month],'Final Result'!M$10)</f>
        <v>420</v>
      </c>
      <c r="N25" s="16">
        <f>SUMIFS(Table1[Amount],Table1[Type],'Final Result'!$B25,Table1[Month],'Final Result'!N$10)</f>
        <v>420</v>
      </c>
      <c r="O25" s="26">
        <f t="shared" ref="O25:O28" si="9">SUM(C25:N25)</f>
        <v>5040</v>
      </c>
      <c r="P25" s="26">
        <f>AVERAGE(C25:N25)</f>
        <v>420</v>
      </c>
    </row>
    <row r="26" spans="2:16">
      <c r="B26" t="s">
        <v>37</v>
      </c>
      <c r="C26" s="16">
        <f>SUMIFS(Table1[Amount],Table1[Type],'Final Result'!$B26,Table1[Month],'Final Result'!C$10)</f>
        <v>102</v>
      </c>
      <c r="D26" s="16">
        <f>SUMIFS(Table1[Amount],Table1[Type],'Final Result'!$B26,Table1[Month],'Final Result'!D$10)</f>
        <v>164</v>
      </c>
      <c r="E26" s="16">
        <f>SUMIFS(Table1[Amount],Table1[Type],'Final Result'!$B26,Table1[Month],'Final Result'!E$10)</f>
        <v>103</v>
      </c>
      <c r="F26" s="16">
        <f>SUMIFS(Table1[Amount],Table1[Type],'Final Result'!$B26,Table1[Month],'Final Result'!F$10)</f>
        <v>149</v>
      </c>
      <c r="G26" s="16">
        <f>SUMIFS(Table1[Amount],Table1[Type],'Final Result'!$B26,Table1[Month],'Final Result'!G$10)</f>
        <v>99</v>
      </c>
      <c r="H26" s="16">
        <f>SUMIFS(Table1[Amount],Table1[Type],'Final Result'!$B26,Table1[Month],'Final Result'!H$10)</f>
        <v>148</v>
      </c>
      <c r="I26" s="16">
        <f>SUMIFS(Table1[Amount],Table1[Type],'Final Result'!$B26,Table1[Month],'Final Result'!I$10)</f>
        <v>135</v>
      </c>
      <c r="J26" s="16">
        <f>SUMIFS(Table1[Amount],Table1[Type],'Final Result'!$B26,Table1[Month],'Final Result'!J$10)</f>
        <v>125</v>
      </c>
      <c r="K26" s="16">
        <f>SUMIFS(Table1[Amount],Table1[Type],'Final Result'!$B26,Table1[Month],'Final Result'!K$10)</f>
        <v>91</v>
      </c>
      <c r="L26" s="16">
        <f>SUMIFS(Table1[Amount],Table1[Type],'Final Result'!$B26,Table1[Month],'Final Result'!L$10)</f>
        <v>148</v>
      </c>
      <c r="M26" s="16">
        <f>SUMIFS(Table1[Amount],Table1[Type],'Final Result'!$B26,Table1[Month],'Final Result'!M$10)</f>
        <v>96</v>
      </c>
      <c r="N26" s="16">
        <f>SUMIFS(Table1[Amount],Table1[Type],'Final Result'!$B26,Table1[Month],'Final Result'!N$10)</f>
        <v>150</v>
      </c>
      <c r="O26" s="26">
        <f t="shared" si="9"/>
        <v>1510</v>
      </c>
      <c r="P26" s="26">
        <f t="shared" ref="P26:P28" si="10">AVERAGE(C26:N26)</f>
        <v>125.833333333333</v>
      </c>
    </row>
    <row r="27" spans="2:16">
      <c r="B27" t="s">
        <v>40</v>
      </c>
      <c r="C27" s="16">
        <f>SUMIFS(Table1[Amount],Table1[Type],'Final Result'!$B27,Table1[Month],'Final Result'!C$10)</f>
        <v>83</v>
      </c>
      <c r="D27" s="16">
        <f>SUMIFS(Table1[Amount],Table1[Type],'Final Result'!$B27,Table1[Month],'Final Result'!D$10)</f>
        <v>63</v>
      </c>
      <c r="E27" s="16">
        <f>SUMIFS(Table1[Amount],Table1[Type],'Final Result'!$B27,Table1[Month],'Final Result'!E$10)</f>
        <v>97</v>
      </c>
      <c r="F27" s="16">
        <f>SUMIFS(Table1[Amount],Table1[Type],'Final Result'!$B27,Table1[Month],'Final Result'!F$10)</f>
        <v>97</v>
      </c>
      <c r="G27" s="16">
        <f>SUMIFS(Table1[Amount],Table1[Type],'Final Result'!$B27,Table1[Month],'Final Result'!G$10)</f>
        <v>67</v>
      </c>
      <c r="H27" s="16">
        <f>SUMIFS(Table1[Amount],Table1[Type],'Final Result'!$B27,Table1[Month],'Final Result'!H$10)</f>
        <v>64</v>
      </c>
      <c r="I27" s="16">
        <f>SUMIFS(Table1[Amount],Table1[Type],'Final Result'!$B27,Table1[Month],'Final Result'!I$10)</f>
        <v>70</v>
      </c>
      <c r="J27" s="16">
        <f>SUMIFS(Table1[Amount],Table1[Type],'Final Result'!$B27,Table1[Month],'Final Result'!J$10)</f>
        <v>68</v>
      </c>
      <c r="K27" s="16">
        <f>SUMIFS(Table1[Amount],Table1[Type],'Final Result'!$B27,Table1[Month],'Final Result'!K$10)</f>
        <v>91</v>
      </c>
      <c r="L27" s="16">
        <f>SUMIFS(Table1[Amount],Table1[Type],'Final Result'!$B27,Table1[Month],'Final Result'!L$10)</f>
        <v>95</v>
      </c>
      <c r="M27" s="16">
        <f>SUMIFS(Table1[Amount],Table1[Type],'Final Result'!$B27,Table1[Month],'Final Result'!M$10)</f>
        <v>66</v>
      </c>
      <c r="N27" s="16">
        <f>SUMIFS(Table1[Amount],Table1[Type],'Final Result'!$B27,Table1[Month],'Final Result'!N$10)</f>
        <v>67</v>
      </c>
      <c r="O27" s="26">
        <f t="shared" si="9"/>
        <v>928</v>
      </c>
      <c r="P27" s="26">
        <f t="shared" si="10"/>
        <v>77.3333333333333</v>
      </c>
    </row>
    <row r="28" spans="2:16">
      <c r="B28" t="s">
        <v>43</v>
      </c>
      <c r="C28" s="17">
        <f>SUMIFS(Table1[Amount],Table1[Type],'Final Result'!$B28,Table1[Month],'Final Result'!C$10)</f>
        <v>94</v>
      </c>
      <c r="D28" s="17">
        <f>SUMIFS(Table1[Amount],Table1[Type],'Final Result'!$B28,Table1[Month],'Final Result'!D$10)</f>
        <v>93</v>
      </c>
      <c r="E28" s="17">
        <f>SUMIFS(Table1[Amount],Table1[Type],'Final Result'!$B28,Table1[Month],'Final Result'!E$10)</f>
        <v>93</v>
      </c>
      <c r="F28" s="17">
        <f>SUMIFS(Table1[Amount],Table1[Type],'Final Result'!$B28,Table1[Month],'Final Result'!F$10)</f>
        <v>78</v>
      </c>
      <c r="G28" s="17">
        <f>SUMIFS(Table1[Amount],Table1[Type],'Final Result'!$B28,Table1[Month],'Final Result'!G$10)</f>
        <v>85</v>
      </c>
      <c r="H28" s="17">
        <f>SUMIFS(Table1[Amount],Table1[Type],'Final Result'!$B28,Table1[Month],'Final Result'!H$10)</f>
        <v>31</v>
      </c>
      <c r="I28" s="17">
        <f>SUMIFS(Table1[Amount],Table1[Type],'Final Result'!$B28,Table1[Month],'Final Result'!I$10)</f>
        <v>98</v>
      </c>
      <c r="J28" s="17">
        <f>SUMIFS(Table1[Amount],Table1[Type],'Final Result'!$B28,Table1[Month],'Final Result'!J$10)</f>
        <v>75</v>
      </c>
      <c r="K28" s="17">
        <f>SUMIFS(Table1[Amount],Table1[Type],'Final Result'!$B28,Table1[Month],'Final Result'!K$10)</f>
        <v>95</v>
      </c>
      <c r="L28" s="17">
        <f>SUMIFS(Table1[Amount],Table1[Type],'Final Result'!$B28,Table1[Month],'Final Result'!L$10)</f>
        <v>70</v>
      </c>
      <c r="M28" s="17">
        <f>SUMIFS(Table1[Amount],Table1[Type],'Final Result'!$B28,Table1[Month],'Final Result'!M$10)</f>
        <v>20</v>
      </c>
      <c r="N28" s="17">
        <f>SUMIFS(Table1[Amount],Table1[Type],'Final Result'!$B28,Table1[Month],'Final Result'!N$10)</f>
        <v>34</v>
      </c>
      <c r="O28" s="26">
        <f t="shared" si="9"/>
        <v>866</v>
      </c>
      <c r="P28" s="26">
        <f t="shared" si="10"/>
        <v>72.1666666666667</v>
      </c>
    </row>
    <row r="29" s="1" customFormat="1" ht="15.6" spans="2:16">
      <c r="B29" s="12" t="s">
        <v>331</v>
      </c>
      <c r="C29" s="13">
        <f t="shared" ref="C29:P29" si="11">SUM(C25:C28)</f>
        <v>699</v>
      </c>
      <c r="D29" s="13">
        <f t="shared" si="11"/>
        <v>740</v>
      </c>
      <c r="E29" s="13">
        <f t="shared" si="11"/>
        <v>713</v>
      </c>
      <c r="F29" s="13">
        <f t="shared" si="11"/>
        <v>744</v>
      </c>
      <c r="G29" s="13">
        <f t="shared" si="11"/>
        <v>671</v>
      </c>
      <c r="H29" s="13">
        <f t="shared" si="11"/>
        <v>663</v>
      </c>
      <c r="I29" s="13">
        <f t="shared" si="11"/>
        <v>723</v>
      </c>
      <c r="J29" s="13">
        <f t="shared" si="11"/>
        <v>688</v>
      </c>
      <c r="K29" s="13">
        <f t="shared" si="11"/>
        <v>697</v>
      </c>
      <c r="L29" s="13">
        <f t="shared" si="11"/>
        <v>733</v>
      </c>
      <c r="M29" s="13">
        <f t="shared" si="11"/>
        <v>602</v>
      </c>
      <c r="N29" s="13">
        <f t="shared" si="11"/>
        <v>671</v>
      </c>
      <c r="O29" s="13">
        <f t="shared" si="11"/>
        <v>8344</v>
      </c>
      <c r="P29" s="13">
        <f t="shared" si="11"/>
        <v>695.333333333333</v>
      </c>
    </row>
    <row r="31" ht="15.6" spans="2:16">
      <c r="B31" s="14" t="s">
        <v>306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 t="s">
        <v>327</v>
      </c>
      <c r="P31" s="15" t="s">
        <v>328</v>
      </c>
    </row>
    <row r="32" spans="2:16">
      <c r="B32" t="s">
        <v>46</v>
      </c>
      <c r="C32" s="16">
        <f>SUMIFS(Table1[Amount],Table1[Type],'Final Result'!$B32,Table1[Month],'Final Result'!C$10)</f>
        <v>47</v>
      </c>
      <c r="D32" s="16">
        <f>SUMIFS(Table1[Amount],Table1[Type],'Final Result'!$B32,Table1[Month],'Final Result'!D$10)</f>
        <v>114</v>
      </c>
      <c r="E32" s="16">
        <f>SUMIFS(Table1[Amount],Table1[Type],'Final Result'!$B32,Table1[Month],'Final Result'!E$10)</f>
        <v>121</v>
      </c>
      <c r="F32" s="16">
        <f>SUMIFS(Table1[Amount],Table1[Type],'Final Result'!$B32,Table1[Month],'Final Result'!F$10)</f>
        <v>86</v>
      </c>
      <c r="G32" s="16">
        <f>SUMIFS(Table1[Amount],Table1[Type],'Final Result'!$B32,Table1[Month],'Final Result'!G$10)</f>
        <v>93</v>
      </c>
      <c r="H32" s="16">
        <f>SUMIFS(Table1[Amount],Table1[Type],'Final Result'!$B32,Table1[Month],'Final Result'!H$10)</f>
        <v>74</v>
      </c>
      <c r="I32" s="16">
        <f>SUMIFS(Table1[Amount],Table1[Type],'Final Result'!$B32,Table1[Month],'Final Result'!I$10)</f>
        <v>54</v>
      </c>
      <c r="J32" s="16">
        <f>SUMIFS(Table1[Amount],Table1[Type],'Final Result'!$B32,Table1[Month],'Final Result'!J$10)</f>
        <v>150</v>
      </c>
      <c r="K32" s="16">
        <f>SUMIFS(Table1[Amount],Table1[Type],'Final Result'!$B32,Table1[Month],'Final Result'!K$10)</f>
        <v>63</v>
      </c>
      <c r="L32" s="16">
        <f>SUMIFS(Table1[Amount],Table1[Type],'Final Result'!$B32,Table1[Month],'Final Result'!L$10)</f>
        <v>90</v>
      </c>
      <c r="M32" s="16">
        <f>SUMIFS(Table1[Amount],Table1[Type],'Final Result'!$B32,Table1[Month],'Final Result'!M$10)</f>
        <v>112</v>
      </c>
      <c r="N32" s="16">
        <f>SUMIFS(Table1[Amount],Table1[Type],'Final Result'!$B32,Table1[Month],'Final Result'!N$10)</f>
        <v>148</v>
      </c>
      <c r="O32" s="26">
        <f t="shared" ref="O32:O36" si="12">SUM(C32:N32)</f>
        <v>1152</v>
      </c>
      <c r="P32" s="26">
        <f>AVERAGE(C32:N32)</f>
        <v>96</v>
      </c>
    </row>
    <row r="33" spans="2:16">
      <c r="B33" t="s">
        <v>49</v>
      </c>
      <c r="C33" s="16">
        <f>SUMIFS(Table1[Amount],Table1[Type],'Final Result'!$B33,Table1[Month],'Final Result'!C$10)</f>
        <v>132</v>
      </c>
      <c r="D33" s="16">
        <f>SUMIFS(Table1[Amount],Table1[Type],'Final Result'!$B33,Table1[Month],'Final Result'!D$10)</f>
        <v>125</v>
      </c>
      <c r="E33" s="16">
        <f>SUMIFS(Table1[Amount],Table1[Type],'Final Result'!$B33,Table1[Month],'Final Result'!E$10)</f>
        <v>112</v>
      </c>
      <c r="F33" s="16">
        <f>SUMIFS(Table1[Amount],Table1[Type],'Final Result'!$B33,Table1[Month],'Final Result'!F$10)</f>
        <v>119</v>
      </c>
      <c r="G33" s="16">
        <f>SUMIFS(Table1[Amount],Table1[Type],'Final Result'!$B33,Table1[Month],'Final Result'!G$10)</f>
        <v>110</v>
      </c>
      <c r="H33" s="16">
        <f>SUMIFS(Table1[Amount],Table1[Type],'Final Result'!$B33,Table1[Month],'Final Result'!H$10)</f>
        <v>130</v>
      </c>
      <c r="I33" s="16">
        <f>SUMIFS(Table1[Amount],Table1[Type],'Final Result'!$B33,Table1[Month],'Final Result'!I$10)</f>
        <v>131</v>
      </c>
      <c r="J33" s="16">
        <f>SUMIFS(Table1[Amount],Table1[Type],'Final Result'!$B33,Table1[Month],'Final Result'!J$10)</f>
        <v>135</v>
      </c>
      <c r="K33" s="16">
        <f>SUMIFS(Table1[Amount],Table1[Type],'Final Result'!$B33,Table1[Month],'Final Result'!K$10)</f>
        <v>116</v>
      </c>
      <c r="L33" s="16">
        <f>SUMIFS(Table1[Amount],Table1[Type],'Final Result'!$B33,Table1[Month],'Final Result'!L$10)</f>
        <v>125</v>
      </c>
      <c r="M33" s="16">
        <f>SUMIFS(Table1[Amount],Table1[Type],'Final Result'!$B33,Table1[Month],'Final Result'!M$10)</f>
        <v>109</v>
      </c>
      <c r="N33" s="16">
        <f>SUMIFS(Table1[Amount],Table1[Type],'Final Result'!$B33,Table1[Month],'Final Result'!N$10)</f>
        <v>131</v>
      </c>
      <c r="O33" s="26">
        <f t="shared" si="12"/>
        <v>1475</v>
      </c>
      <c r="P33" s="26">
        <f t="shared" ref="P33:P36" si="13">AVERAGE(C33:N33)</f>
        <v>122.916666666667</v>
      </c>
    </row>
    <row r="34" spans="2:16">
      <c r="B34" t="s">
        <v>52</v>
      </c>
      <c r="C34" s="16">
        <f>SUMIFS(Table1[Amount],Table1[Type],'Final Result'!$B34,Table1[Month],'Final Result'!C$10)</f>
        <v>109</v>
      </c>
      <c r="D34" s="16">
        <f>SUMIFS(Table1[Amount],Table1[Type],'Final Result'!$B34,Table1[Month],'Final Result'!D$10)</f>
        <v>25</v>
      </c>
      <c r="E34" s="16">
        <f>SUMIFS(Table1[Amount],Table1[Type],'Final Result'!$B34,Table1[Month],'Final Result'!E$10)</f>
        <v>190</v>
      </c>
      <c r="F34" s="16">
        <f>SUMIFS(Table1[Amount],Table1[Type],'Final Result'!$B34,Table1[Month],'Final Result'!F$10)</f>
        <v>127</v>
      </c>
      <c r="G34" s="16">
        <f>SUMIFS(Table1[Amount],Table1[Type],'Final Result'!$B34,Table1[Month],'Final Result'!G$10)</f>
        <v>175</v>
      </c>
      <c r="H34" s="16">
        <f>SUMIFS(Table1[Amount],Table1[Type],'Final Result'!$B34,Table1[Month],'Final Result'!H$10)</f>
        <v>33</v>
      </c>
      <c r="I34" s="16">
        <f>SUMIFS(Table1[Amount],Table1[Type],'Final Result'!$B34,Table1[Month],'Final Result'!I$10)</f>
        <v>30</v>
      </c>
      <c r="J34" s="16">
        <f>SUMIFS(Table1[Amount],Table1[Type],'Final Result'!$B34,Table1[Month],'Final Result'!J$10)</f>
        <v>142</v>
      </c>
      <c r="K34" s="16">
        <f>SUMIFS(Table1[Amount],Table1[Type],'Final Result'!$B34,Table1[Month],'Final Result'!K$10)</f>
        <v>144</v>
      </c>
      <c r="L34" s="16">
        <f>SUMIFS(Table1[Amount],Table1[Type],'Final Result'!$B34,Table1[Month],'Final Result'!L$10)</f>
        <v>201</v>
      </c>
      <c r="M34" s="16">
        <f>SUMIFS(Table1[Amount],Table1[Type],'Final Result'!$B34,Table1[Month],'Final Result'!M$10)</f>
        <v>274</v>
      </c>
      <c r="N34" s="16">
        <f>SUMIFS(Table1[Amount],Table1[Type],'Final Result'!$B34,Table1[Month],'Final Result'!N$10)</f>
        <v>238</v>
      </c>
      <c r="O34" s="26">
        <f t="shared" si="12"/>
        <v>1688</v>
      </c>
      <c r="P34" s="26">
        <f t="shared" si="13"/>
        <v>140.666666666667</v>
      </c>
    </row>
    <row r="35" spans="2:16">
      <c r="B35" t="s">
        <v>55</v>
      </c>
      <c r="C35" s="16">
        <f>SUMIFS(Table1[Amount],Table1[Type],'Final Result'!$B35,Table1[Month],'Final Result'!C$10)</f>
        <v>24</v>
      </c>
      <c r="D35" s="16">
        <f>SUMIFS(Table1[Amount],Table1[Type],'Final Result'!$B35,Table1[Month],'Final Result'!D$10)</f>
        <v>48</v>
      </c>
      <c r="E35" s="16">
        <f>SUMIFS(Table1[Amount],Table1[Type],'Final Result'!$B35,Table1[Month],'Final Result'!E$10)</f>
        <v>32</v>
      </c>
      <c r="F35" s="16">
        <f>SUMIFS(Table1[Amount],Table1[Type],'Final Result'!$B35,Table1[Month],'Final Result'!F$10)</f>
        <v>43</v>
      </c>
      <c r="G35" s="16">
        <f>SUMIFS(Table1[Amount],Table1[Type],'Final Result'!$B35,Table1[Month],'Final Result'!G$10)</f>
        <v>39</v>
      </c>
      <c r="H35" s="16">
        <f>SUMIFS(Table1[Amount],Table1[Type],'Final Result'!$B35,Table1[Month],'Final Result'!H$10)</f>
        <v>27</v>
      </c>
      <c r="I35" s="16">
        <f>SUMIFS(Table1[Amount],Table1[Type],'Final Result'!$B35,Table1[Month],'Final Result'!I$10)</f>
        <v>47</v>
      </c>
      <c r="J35" s="16">
        <f>SUMIFS(Table1[Amount],Table1[Type],'Final Result'!$B35,Table1[Month],'Final Result'!J$10)</f>
        <v>110</v>
      </c>
      <c r="K35" s="16">
        <f>SUMIFS(Table1[Amount],Table1[Type],'Final Result'!$B35,Table1[Month],'Final Result'!K$10)</f>
        <v>20</v>
      </c>
      <c r="L35" s="16">
        <f>SUMIFS(Table1[Amount],Table1[Type],'Final Result'!$B35,Table1[Month],'Final Result'!L$10)</f>
        <v>33</v>
      </c>
      <c r="M35" s="16">
        <f>SUMIFS(Table1[Amount],Table1[Type],'Final Result'!$B35,Table1[Month],'Final Result'!M$10)</f>
        <v>32</v>
      </c>
      <c r="N35" s="16">
        <f>SUMIFS(Table1[Amount],Table1[Type],'Final Result'!$B35,Table1[Month],'Final Result'!N$10)</f>
        <v>81</v>
      </c>
      <c r="O35" s="26">
        <f t="shared" si="12"/>
        <v>536</v>
      </c>
      <c r="P35" s="26">
        <f t="shared" si="13"/>
        <v>44.6666666666667</v>
      </c>
    </row>
    <row r="36" spans="2:16">
      <c r="B36" t="s">
        <v>58</v>
      </c>
      <c r="C36" s="17">
        <f>SUMIFS(Table1[Amount],Table1[Type],'Final Result'!$B36,Table1[Month],'Final Result'!C$10)</f>
        <v>382</v>
      </c>
      <c r="D36" s="17">
        <f>SUMIFS(Table1[Amount],Table1[Type],'Final Result'!$B36,Table1[Month],'Final Result'!D$10)</f>
        <v>371</v>
      </c>
      <c r="E36" s="17">
        <f>SUMIFS(Table1[Amount],Table1[Type],'Final Result'!$B36,Table1[Month],'Final Result'!E$10)</f>
        <v>500</v>
      </c>
      <c r="F36" s="17">
        <f>SUMIFS(Table1[Amount],Table1[Type],'Final Result'!$B36,Table1[Month],'Final Result'!F$10)</f>
        <v>538</v>
      </c>
      <c r="G36" s="17">
        <f>SUMIFS(Table1[Amount],Table1[Type],'Final Result'!$B36,Table1[Month],'Final Result'!G$10)</f>
        <v>485</v>
      </c>
      <c r="H36" s="17">
        <f>SUMIFS(Table1[Amount],Table1[Type],'Final Result'!$B36,Table1[Month],'Final Result'!H$10)</f>
        <v>539</v>
      </c>
      <c r="I36" s="17">
        <f>SUMIFS(Table1[Amount],Table1[Type],'Final Result'!$B36,Table1[Month],'Final Result'!I$10)</f>
        <v>433</v>
      </c>
      <c r="J36" s="17">
        <f>SUMIFS(Table1[Amount],Table1[Type],'Final Result'!$B36,Table1[Month],'Final Result'!J$10)</f>
        <v>466</v>
      </c>
      <c r="K36" s="17">
        <f>SUMIFS(Table1[Amount],Table1[Type],'Final Result'!$B36,Table1[Month],'Final Result'!K$10)</f>
        <v>397</v>
      </c>
      <c r="L36" s="17">
        <f>SUMIFS(Table1[Amount],Table1[Type],'Final Result'!$B36,Table1[Month],'Final Result'!L$10)</f>
        <v>483</v>
      </c>
      <c r="M36" s="17">
        <f>SUMIFS(Table1[Amount],Table1[Type],'Final Result'!$B36,Table1[Month],'Final Result'!M$10)</f>
        <v>453</v>
      </c>
      <c r="N36" s="17">
        <f>SUMIFS(Table1[Amount],Table1[Type],'Final Result'!$B36,Table1[Month],'Final Result'!N$10)</f>
        <v>483</v>
      </c>
      <c r="O36" s="26">
        <f t="shared" si="12"/>
        <v>5530</v>
      </c>
      <c r="P36" s="26">
        <f t="shared" si="13"/>
        <v>460.833333333333</v>
      </c>
    </row>
    <row r="37" s="1" customFormat="1" ht="15.6" spans="2:16">
      <c r="B37" s="12" t="s">
        <v>332</v>
      </c>
      <c r="C37" s="13">
        <f t="shared" ref="C37:N37" si="14">SUM(C32:C36)</f>
        <v>694</v>
      </c>
      <c r="D37" s="13">
        <f t="shared" si="14"/>
        <v>683</v>
      </c>
      <c r="E37" s="13">
        <f t="shared" si="14"/>
        <v>955</v>
      </c>
      <c r="F37" s="13">
        <f t="shared" si="14"/>
        <v>913</v>
      </c>
      <c r="G37" s="13">
        <f t="shared" si="14"/>
        <v>902</v>
      </c>
      <c r="H37" s="13">
        <f t="shared" si="14"/>
        <v>803</v>
      </c>
      <c r="I37" s="13">
        <f t="shared" si="14"/>
        <v>695</v>
      </c>
      <c r="J37" s="13">
        <f t="shared" si="14"/>
        <v>1003</v>
      </c>
      <c r="K37" s="13">
        <f t="shared" si="14"/>
        <v>740</v>
      </c>
      <c r="L37" s="13">
        <f t="shared" si="14"/>
        <v>932</v>
      </c>
      <c r="M37" s="13">
        <f t="shared" si="14"/>
        <v>980</v>
      </c>
      <c r="N37" s="13">
        <f t="shared" si="14"/>
        <v>1081</v>
      </c>
      <c r="O37" s="13">
        <f t="shared" ref="O37" si="15">SUM(O32:O36)</f>
        <v>10381</v>
      </c>
      <c r="P37" s="13">
        <f t="shared" ref="P37" si="16">SUM(P32:P36)</f>
        <v>865.083333333333</v>
      </c>
    </row>
    <row r="39" ht="15.6" spans="2:16">
      <c r="B39" s="14" t="s">
        <v>307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 t="s">
        <v>327</v>
      </c>
      <c r="P39" s="15" t="s">
        <v>328</v>
      </c>
    </row>
    <row r="40" spans="2:16">
      <c r="B40" t="s">
        <v>61</v>
      </c>
      <c r="C40" s="16">
        <f>SUMIFS(Table1[Amount],Table1[Type],'Final Result'!$B40,Table1[Month],'Final Result'!C$10)</f>
        <v>261</v>
      </c>
      <c r="D40" s="16">
        <f>SUMIFS(Table1[Amount],Table1[Type],'Final Result'!$B40,Table1[Month],'Final Result'!D$10)</f>
        <v>292</v>
      </c>
      <c r="E40" s="16">
        <f>SUMIFS(Table1[Amount],Table1[Type],'Final Result'!$B40,Table1[Month],'Final Result'!E$10)</f>
        <v>332</v>
      </c>
      <c r="F40" s="16">
        <f>SUMIFS(Table1[Amount],Table1[Type],'Final Result'!$B40,Table1[Month],'Final Result'!F$10)</f>
        <v>212</v>
      </c>
      <c r="G40" s="16">
        <f>SUMIFS(Table1[Amount],Table1[Type],'Final Result'!$B40,Table1[Month],'Final Result'!G$10)</f>
        <v>257</v>
      </c>
      <c r="H40" s="16">
        <f>SUMIFS(Table1[Amount],Table1[Type],'Final Result'!$B40,Table1[Month],'Final Result'!H$10)</f>
        <v>229</v>
      </c>
      <c r="I40" s="16">
        <f>SUMIFS(Table1[Amount],Table1[Type],'Final Result'!$B40,Table1[Month],'Final Result'!I$10)</f>
        <v>183</v>
      </c>
      <c r="J40" s="16">
        <f>SUMIFS(Table1[Amount],Table1[Type],'Final Result'!$B40,Table1[Month],'Final Result'!J$10)</f>
        <v>241</v>
      </c>
      <c r="K40" s="16">
        <f>SUMIFS(Table1[Amount],Table1[Type],'Final Result'!$B40,Table1[Month],'Final Result'!K$10)</f>
        <v>257</v>
      </c>
      <c r="L40" s="16">
        <f>SUMIFS(Table1[Amount],Table1[Type],'Final Result'!$B40,Table1[Month],'Final Result'!L$10)</f>
        <v>312</v>
      </c>
      <c r="M40" s="16">
        <f>SUMIFS(Table1[Amount],Table1[Type],'Final Result'!$B40,Table1[Month],'Final Result'!M$10)</f>
        <v>307</v>
      </c>
      <c r="N40" s="16">
        <f>SUMIFS(Table1[Amount],Table1[Type],'Final Result'!$B40,Table1[Month],'Final Result'!N$10)</f>
        <v>229</v>
      </c>
      <c r="O40" s="26">
        <f t="shared" ref="O40:O43" si="17">SUM(C40:N40)</f>
        <v>3112</v>
      </c>
      <c r="P40" s="26">
        <f>AVERAGE(C40:N40)</f>
        <v>259.333333333333</v>
      </c>
    </row>
    <row r="41" spans="2:16">
      <c r="B41" t="s">
        <v>64</v>
      </c>
      <c r="C41" s="16">
        <f>SUMIFS(Table1[Amount],Table1[Type],'Final Result'!$B41,Table1[Month],'Final Result'!C$10)</f>
        <v>227</v>
      </c>
      <c r="D41" s="16">
        <f>SUMIFS(Table1[Amount],Table1[Type],'Final Result'!$B41,Table1[Month],'Final Result'!D$10)</f>
        <v>154</v>
      </c>
      <c r="E41" s="16">
        <f>SUMIFS(Table1[Amount],Table1[Type],'Final Result'!$B41,Table1[Month],'Final Result'!E$10)</f>
        <v>136</v>
      </c>
      <c r="F41" s="16">
        <f>SUMIFS(Table1[Amount],Table1[Type],'Final Result'!$B41,Table1[Month],'Final Result'!F$10)</f>
        <v>140</v>
      </c>
      <c r="G41" s="16">
        <f>SUMIFS(Table1[Amount],Table1[Type],'Final Result'!$B41,Table1[Month],'Final Result'!G$10)</f>
        <v>130</v>
      </c>
      <c r="H41" s="16">
        <f>SUMIFS(Table1[Amount],Table1[Type],'Final Result'!$B41,Table1[Month],'Final Result'!H$10)</f>
        <v>285</v>
      </c>
      <c r="I41" s="16">
        <f>SUMIFS(Table1[Amount],Table1[Type],'Final Result'!$B41,Table1[Month],'Final Result'!I$10)</f>
        <v>309</v>
      </c>
      <c r="J41" s="16">
        <f>SUMIFS(Table1[Amount],Table1[Type],'Final Result'!$B41,Table1[Month],'Final Result'!J$10)</f>
        <v>294</v>
      </c>
      <c r="K41" s="16">
        <f>SUMIFS(Table1[Amount],Table1[Type],'Final Result'!$B41,Table1[Month],'Final Result'!K$10)</f>
        <v>256</v>
      </c>
      <c r="L41" s="16">
        <f>SUMIFS(Table1[Amount],Table1[Type],'Final Result'!$B41,Table1[Month],'Final Result'!L$10)</f>
        <v>222</v>
      </c>
      <c r="M41" s="16">
        <f>SUMIFS(Table1[Amount],Table1[Type],'Final Result'!$B41,Table1[Month],'Final Result'!M$10)</f>
        <v>126</v>
      </c>
      <c r="N41" s="16">
        <f>SUMIFS(Table1[Amount],Table1[Type],'Final Result'!$B41,Table1[Month],'Final Result'!N$10)</f>
        <v>141</v>
      </c>
      <c r="O41" s="26">
        <f t="shared" si="17"/>
        <v>2420</v>
      </c>
      <c r="P41" s="26">
        <f t="shared" ref="P41:P43" si="18">AVERAGE(C41:N41)</f>
        <v>201.666666666667</v>
      </c>
    </row>
    <row r="42" spans="2:16">
      <c r="B42" t="s">
        <v>67</v>
      </c>
      <c r="C42" s="16">
        <f>SUMIFS(Table1[Amount],Table1[Type],'Final Result'!$B42,Table1[Month],'Final Result'!C$10)</f>
        <v>143</v>
      </c>
      <c r="D42" s="16">
        <f>SUMIFS(Table1[Amount],Table1[Type],'Final Result'!$B42,Table1[Month],'Final Result'!D$10)</f>
        <v>240</v>
      </c>
      <c r="E42" s="16">
        <f>SUMIFS(Table1[Amount],Table1[Type],'Final Result'!$B42,Table1[Month],'Final Result'!E$10)</f>
        <v>459</v>
      </c>
      <c r="F42" s="16">
        <f>SUMIFS(Table1[Amount],Table1[Type],'Final Result'!$B42,Table1[Month],'Final Result'!F$10)</f>
        <v>648</v>
      </c>
      <c r="G42" s="16">
        <f>SUMIFS(Table1[Amount],Table1[Type],'Final Result'!$B42,Table1[Month],'Final Result'!G$10)</f>
        <v>0</v>
      </c>
      <c r="H42" s="16">
        <f>SUMIFS(Table1[Amount],Table1[Type],'Final Result'!$B42,Table1[Month],'Final Result'!H$10)</f>
        <v>0</v>
      </c>
      <c r="I42" s="16">
        <f>SUMIFS(Table1[Amount],Table1[Type],'Final Result'!$B42,Table1[Month],'Final Result'!I$10)</f>
        <v>507</v>
      </c>
      <c r="J42" s="16">
        <f>SUMIFS(Table1[Amount],Table1[Type],'Final Result'!$B42,Table1[Month],'Final Result'!J$10)</f>
        <v>779</v>
      </c>
      <c r="K42" s="16">
        <f>SUMIFS(Table1[Amount],Table1[Type],'Final Result'!$B42,Table1[Month],'Final Result'!K$10)</f>
        <v>756</v>
      </c>
      <c r="L42" s="16">
        <f>SUMIFS(Table1[Amount],Table1[Type],'Final Result'!$B42,Table1[Month],'Final Result'!L$10)</f>
        <v>127</v>
      </c>
      <c r="M42" s="16">
        <f>SUMIFS(Table1[Amount],Table1[Type],'Final Result'!$B42,Table1[Month],'Final Result'!M$10)</f>
        <v>144</v>
      </c>
      <c r="N42" s="16">
        <f>SUMIFS(Table1[Amount],Table1[Type],'Final Result'!$B42,Table1[Month],'Final Result'!N$10)</f>
        <v>295</v>
      </c>
      <c r="O42" s="26">
        <f t="shared" si="17"/>
        <v>4098</v>
      </c>
      <c r="P42" s="26">
        <f t="shared" si="18"/>
        <v>341.5</v>
      </c>
    </row>
    <row r="43" spans="2:16">
      <c r="B43" t="s">
        <v>70</v>
      </c>
      <c r="C43" s="18">
        <f>SUMIFS(Table1[Amount],Table1[Type],'Final Result'!$B43,Table1[Month],'Final Result'!C$10)</f>
        <v>121</v>
      </c>
      <c r="D43" s="18">
        <f>SUMIFS(Table1[Amount],Table1[Type],'Final Result'!$B43,Table1[Month],'Final Result'!D$10)</f>
        <v>167</v>
      </c>
      <c r="E43" s="18">
        <f>SUMIFS(Table1[Amount],Table1[Type],'Final Result'!$B43,Table1[Month],'Final Result'!E$10)</f>
        <v>75</v>
      </c>
      <c r="F43" s="18">
        <f>SUMIFS(Table1[Amount],Table1[Type],'Final Result'!$B43,Table1[Month],'Final Result'!F$10)</f>
        <v>136</v>
      </c>
      <c r="G43" s="18">
        <f>SUMIFS(Table1[Amount],Table1[Type],'Final Result'!$B43,Table1[Month],'Final Result'!G$10)</f>
        <v>79</v>
      </c>
      <c r="H43" s="18">
        <f>SUMIFS(Table1[Amount],Table1[Type],'Final Result'!$B43,Table1[Month],'Final Result'!H$10)</f>
        <v>234</v>
      </c>
      <c r="I43" s="18">
        <f>SUMIFS(Table1[Amount],Table1[Type],'Final Result'!$B43,Table1[Month],'Final Result'!I$10)</f>
        <v>161</v>
      </c>
      <c r="J43" s="18">
        <f>SUMIFS(Table1[Amount],Table1[Type],'Final Result'!$B43,Table1[Month],'Final Result'!J$10)</f>
        <v>119</v>
      </c>
      <c r="K43" s="18">
        <f>SUMIFS(Table1[Amount],Table1[Type],'Final Result'!$B43,Table1[Month],'Final Result'!K$10)</f>
        <v>216</v>
      </c>
      <c r="L43" s="18">
        <f>SUMIFS(Table1[Amount],Table1[Type],'Final Result'!$B43,Table1[Month],'Final Result'!L$10)</f>
        <v>108</v>
      </c>
      <c r="M43" s="18">
        <f>SUMIFS(Table1[Amount],Table1[Type],'Final Result'!$B43,Table1[Month],'Final Result'!M$10)</f>
        <v>283</v>
      </c>
      <c r="N43" s="18">
        <f>SUMIFS(Table1[Amount],Table1[Type],'Final Result'!$B43,Table1[Month],'Final Result'!N$10)</f>
        <v>86</v>
      </c>
      <c r="O43" s="26">
        <f t="shared" si="17"/>
        <v>1785</v>
      </c>
      <c r="P43" s="26">
        <f t="shared" si="18"/>
        <v>148.75</v>
      </c>
    </row>
    <row r="44" ht="15.6" spans="2:16">
      <c r="B44" s="12" t="s">
        <v>333</v>
      </c>
      <c r="C44" s="19">
        <f t="shared" ref="C44:P44" si="19">SUM(C40:C43)</f>
        <v>752</v>
      </c>
      <c r="D44" s="19">
        <f t="shared" si="19"/>
        <v>853</v>
      </c>
      <c r="E44" s="19">
        <f t="shared" si="19"/>
        <v>1002</v>
      </c>
      <c r="F44" s="19">
        <f t="shared" si="19"/>
        <v>1136</v>
      </c>
      <c r="G44" s="19">
        <f t="shared" si="19"/>
        <v>466</v>
      </c>
      <c r="H44" s="19">
        <f t="shared" si="19"/>
        <v>748</v>
      </c>
      <c r="I44" s="19">
        <f t="shared" si="19"/>
        <v>1160</v>
      </c>
      <c r="J44" s="19">
        <f t="shared" si="19"/>
        <v>1433</v>
      </c>
      <c r="K44" s="19">
        <f t="shared" si="19"/>
        <v>1485</v>
      </c>
      <c r="L44" s="19">
        <f t="shared" si="19"/>
        <v>769</v>
      </c>
      <c r="M44" s="19">
        <f t="shared" si="19"/>
        <v>860</v>
      </c>
      <c r="N44" s="19">
        <f t="shared" si="19"/>
        <v>751</v>
      </c>
      <c r="O44" s="20">
        <f t="shared" si="19"/>
        <v>11415</v>
      </c>
      <c r="P44" s="20">
        <f t="shared" si="19"/>
        <v>951.25</v>
      </c>
    </row>
    <row r="45" ht="15.6" spans="2:16">
      <c r="B45" s="12" t="s">
        <v>309</v>
      </c>
      <c r="C45" s="20">
        <f>SUM(C44,C37,C29,C22)</f>
        <v>4431</v>
      </c>
      <c r="D45" s="20">
        <f t="shared" ref="D45:O45" si="20">SUM(D44,D37,D29,D22)</f>
        <v>3979</v>
      </c>
      <c r="E45" s="20">
        <f t="shared" si="20"/>
        <v>4922</v>
      </c>
      <c r="F45" s="20">
        <f t="shared" si="20"/>
        <v>5022</v>
      </c>
      <c r="G45" s="20">
        <f t="shared" si="20"/>
        <v>3845</v>
      </c>
      <c r="H45" s="20">
        <f t="shared" si="20"/>
        <v>4246</v>
      </c>
      <c r="I45" s="20">
        <f t="shared" si="20"/>
        <v>4063</v>
      </c>
      <c r="J45" s="20">
        <f t="shared" si="20"/>
        <v>5032</v>
      </c>
      <c r="K45" s="20">
        <f t="shared" si="20"/>
        <v>4984</v>
      </c>
      <c r="L45" s="20">
        <f t="shared" si="20"/>
        <v>4496</v>
      </c>
      <c r="M45" s="20">
        <f t="shared" si="20"/>
        <v>4257</v>
      </c>
      <c r="N45" s="20">
        <f t="shared" si="20"/>
        <v>4556</v>
      </c>
      <c r="O45" s="20">
        <f t="shared" si="20"/>
        <v>53833</v>
      </c>
      <c r="P45" s="20">
        <f>AVERAGE(C45:N45)</f>
        <v>4486.08333333333</v>
      </c>
    </row>
    <row r="47" ht="15.6" spans="2:16">
      <c r="B47" s="21" t="s">
        <v>334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 t="s">
        <v>327</v>
      </c>
      <c r="P47" s="22" t="s">
        <v>328</v>
      </c>
    </row>
    <row r="48" spans="2:16">
      <c r="B48" t="s">
        <v>335</v>
      </c>
      <c r="C48" s="23">
        <v>10000</v>
      </c>
      <c r="D48" s="24">
        <f>C50</f>
        <v>9613</v>
      </c>
      <c r="E48" s="24">
        <f t="shared" ref="E48:N48" si="21">D50</f>
        <v>10402</v>
      </c>
      <c r="F48" s="24">
        <f t="shared" si="21"/>
        <v>9567</v>
      </c>
      <c r="G48" s="24">
        <f t="shared" si="21"/>
        <v>9039</v>
      </c>
      <c r="H48" s="24">
        <f t="shared" si="21"/>
        <v>10208</v>
      </c>
      <c r="I48" s="24">
        <f t="shared" si="21"/>
        <v>11051</v>
      </c>
      <c r="J48" s="24">
        <f t="shared" si="21"/>
        <v>12086</v>
      </c>
      <c r="K48" s="24">
        <f t="shared" si="21"/>
        <v>12393</v>
      </c>
      <c r="L48" s="24">
        <f t="shared" si="21"/>
        <v>11905</v>
      </c>
      <c r="M48" s="24">
        <f t="shared" si="21"/>
        <v>12568</v>
      </c>
      <c r="N48" s="24">
        <f t="shared" si="21"/>
        <v>13105</v>
      </c>
      <c r="O48" s="26"/>
      <c r="P48" s="26"/>
    </row>
    <row r="49" spans="2:16">
      <c r="B49" t="s">
        <v>334</v>
      </c>
      <c r="C49" s="25">
        <f>C15-C45</f>
        <v>-387</v>
      </c>
      <c r="D49" s="25">
        <f>D15-D45</f>
        <v>789</v>
      </c>
      <c r="E49" s="25">
        <f t="shared" ref="E49:N49" si="22">E15-E45</f>
        <v>-835</v>
      </c>
      <c r="F49" s="25">
        <f t="shared" si="22"/>
        <v>-528</v>
      </c>
      <c r="G49" s="25">
        <f t="shared" si="22"/>
        <v>1169</v>
      </c>
      <c r="H49" s="25">
        <f t="shared" si="22"/>
        <v>843</v>
      </c>
      <c r="I49" s="25">
        <f t="shared" si="22"/>
        <v>1035</v>
      </c>
      <c r="J49" s="25">
        <f t="shared" si="22"/>
        <v>307</v>
      </c>
      <c r="K49" s="25">
        <f t="shared" si="22"/>
        <v>-488</v>
      </c>
      <c r="L49" s="25">
        <f t="shared" si="22"/>
        <v>663</v>
      </c>
      <c r="M49" s="25">
        <f t="shared" si="22"/>
        <v>537</v>
      </c>
      <c r="N49" s="25">
        <f t="shared" si="22"/>
        <v>590</v>
      </c>
      <c r="O49" s="26">
        <f>SUM(C49:N49)</f>
        <v>3695</v>
      </c>
      <c r="P49" s="26">
        <f>AVERAGE(C49:N49)</f>
        <v>307.916666666667</v>
      </c>
    </row>
    <row r="50" ht="15.6" spans="2:16">
      <c r="B50" s="12" t="s">
        <v>314</v>
      </c>
      <c r="C50" s="13">
        <f>SUM(C48:C49)</f>
        <v>9613</v>
      </c>
      <c r="D50" s="13">
        <f>SUM(D48:D49)</f>
        <v>10402</v>
      </c>
      <c r="E50" s="13">
        <f t="shared" ref="E50:N50" si="23">SUM(E48:E49)</f>
        <v>9567</v>
      </c>
      <c r="F50" s="13">
        <f t="shared" si="23"/>
        <v>9039</v>
      </c>
      <c r="G50" s="13">
        <f t="shared" si="23"/>
        <v>10208</v>
      </c>
      <c r="H50" s="13">
        <f t="shared" si="23"/>
        <v>11051</v>
      </c>
      <c r="I50" s="13">
        <f t="shared" si="23"/>
        <v>12086</v>
      </c>
      <c r="J50" s="13">
        <f t="shared" si="23"/>
        <v>12393</v>
      </c>
      <c r="K50" s="13">
        <f t="shared" si="23"/>
        <v>11905</v>
      </c>
      <c r="L50" s="13">
        <f t="shared" si="23"/>
        <v>12568</v>
      </c>
      <c r="M50" s="13">
        <f t="shared" si="23"/>
        <v>13105</v>
      </c>
      <c r="N50" s="13">
        <f t="shared" si="23"/>
        <v>13695</v>
      </c>
      <c r="O50" s="20"/>
      <c r="P50" s="20"/>
    </row>
  </sheetData>
  <conditionalFormatting sqref="O11:O1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{09287ede-6c94-4ec1-a010-7168823fca47}</x14:id>
        </ext>
      </extLst>
    </cfRule>
  </conditionalFormatting>
  <conditionalFormatting sqref="O18:O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{0a6d5472-74f6-43f5-af38-bed7ca275c59}</x14:id>
        </ext>
      </extLst>
    </cfRule>
  </conditionalFormatting>
  <conditionalFormatting sqref="O25:O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{f70b52b6-5f78-4df7-90b3-062c80592589}</x14:id>
        </ext>
      </extLst>
    </cfRule>
  </conditionalFormatting>
  <conditionalFormatting sqref="O32:O3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{5cf092a7-fc3b-451f-b5f0-2442dd49ce2e}</x14:id>
        </ext>
      </extLst>
    </cfRule>
  </conditionalFormatting>
  <conditionalFormatting sqref="O40:O4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{5c10f9a0-0e5f-4706-b8b6-b154c788907c}</x14:id>
        </ext>
      </extLst>
    </cfRule>
  </conditionalFormatting>
  <pageMargins left="0.7" right="0.7" top="0.75" bottom="0.75" header="0.3" footer="0.3"/>
  <pageSetup paperSize="9" orientation="portrait"/>
  <headerFooter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287ede-6c94-4ec1-a010-7168823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O11:O14</xm:sqref>
        </x14:conditionalFormatting>
        <x14:conditionalFormatting xmlns:xm="http://schemas.microsoft.com/office/excel/2006/main">
          <x14:cfRule type="dataBar" id="{0a6d5472-74f6-43f5-af38-bed7ca275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O18:O21</xm:sqref>
        </x14:conditionalFormatting>
        <x14:conditionalFormatting xmlns:xm="http://schemas.microsoft.com/office/excel/2006/main">
          <x14:cfRule type="dataBar" id="{f70b52b6-5f78-4df7-90b3-062c80592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O25:O28</xm:sqref>
        </x14:conditionalFormatting>
        <x14:conditionalFormatting xmlns:xm="http://schemas.microsoft.com/office/excel/2006/main">
          <x14:cfRule type="dataBar" id="{5cf092a7-fc3b-451f-b5f0-2442dd49ce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O32:O36</xm:sqref>
        </x14:conditionalFormatting>
        <x14:conditionalFormatting xmlns:xm="http://schemas.microsoft.com/office/excel/2006/main">
          <x14:cfRule type="dataBar" id="{5c10f9a0-0e5f-4706-b8b6-b154c78890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O40:O43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Starting Data</vt:lpstr>
      <vt:lpstr>Ending Data</vt:lpstr>
      <vt:lpstr>KPIs</vt:lpstr>
      <vt:lpstr>Final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Dev Mehta</cp:lastModifiedBy>
  <dcterms:created xsi:type="dcterms:W3CDTF">2026-01-09T00:57:00Z</dcterms:created>
  <dcterms:modified xsi:type="dcterms:W3CDTF">2026-02-03T19:34:40Z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D3429FE2FECE4FD6B043953C77240E6C_13</vt:lpwstr>
  </property>
  <property fmtid="{D5CDD505-2E9C-101B-9397-08002B2CF9AE}" pid="3" name="KSOProductBuildVer">
    <vt:lpwstr>1033-12.2.0.23196</vt:lpwstr>
  </property>
</Properties>
</file>